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Overnight Failure Ticket Update\Bulk Failure Update DRT\Update OVN Failure Tickets\"/>
    </mc:Choice>
  </mc:AlternateContent>
  <xr:revisionPtr revIDLastSave="0" documentId="13_ncr:1_{F9D99B11-845C-438A-A7CC-DED00A798FCC}" xr6:coauthVersionLast="47" xr6:coauthVersionMax="47" xr10:uidLastSave="{00000000-0000-0000-0000-000000000000}"/>
  <bookViews>
    <workbookView xWindow="-135" yWindow="-135" windowWidth="29070" windowHeight="15750" activeTab="1" xr2:uid="{00000000-000D-0000-FFFF-FFFF00000000}"/>
  </bookViews>
  <sheets>
    <sheet name="References" sheetId="3" r:id="rId1"/>
    <sheet name="custom" sheetId="4" r:id="rId2"/>
    <sheet name="Bench06" sheetId="1" r:id="rId3"/>
    <sheet name="Bench10" sheetId="2" r:id="rId4"/>
  </sheets>
  <definedNames>
    <definedName name="_xlnm._FilterDatabase" localSheetId="2" hidden="1">Bench06!$A$1:$L$33</definedName>
    <definedName name="_xlnm._FilterDatabase" localSheetId="3" hidden="1">Bench10!$A$1:$L$7</definedName>
    <definedName name="Human_Error" comment="Human_Error">References!$F$2:$F$14</definedName>
    <definedName name="ICB_Issue_Always" comment="ICB_Issue_Always">References!$D$2:$D$14</definedName>
    <definedName name="ICB_Issue_Once" comment="ICB_Issue_Once">References!$C$2:$C$14</definedName>
    <definedName name="KITE_Issue" comment="KITE_Issue">References!$A$2:$A$14</definedName>
    <definedName name="Test_Env_Issue" comment="Test_Env_Issue">References!$B$2:$B$14</definedName>
    <definedName name="TS_Issue" comment="TS_Issue">References!$E$2:$E$14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P2" i="4"/>
  <c r="N2" i="4"/>
  <c r="L2" i="4"/>
  <c r="J2" i="4"/>
  <c r="F2" i="4"/>
  <c r="B2" i="4"/>
  <c r="XFD2" i="4"/>
</calcChain>
</file>

<file path=xl/sharedStrings.xml><?xml version="1.0" encoding="utf-8"?>
<sst xmlns="http://schemas.openxmlformats.org/spreadsheetml/2006/main" count="670" uniqueCount="179">
  <si>
    <t>Jira ID</t>
  </si>
  <si>
    <t>Test Script ID</t>
  </si>
  <si>
    <t>Date</t>
  </si>
  <si>
    <t>Build Number</t>
  </si>
  <si>
    <t>Result</t>
  </si>
  <si>
    <t>Failure Category</t>
  </si>
  <si>
    <t>Failure Sub Category</t>
  </si>
  <si>
    <t>Root Cause Details</t>
  </si>
  <si>
    <t>Fixation Performed</t>
  </si>
  <si>
    <t>Remarks</t>
  </si>
  <si>
    <t>Reviewer</t>
  </si>
  <si>
    <t>Fixation</t>
  </si>
  <si>
    <t>Build</t>
  </si>
  <si>
    <t>Fail</t>
  </si>
  <si>
    <t>-</t>
  </si>
  <si>
    <t>KPIT_TC_DRT_USB_132</t>
  </si>
  <si>
    <t>KPIT_TC_DRT_USB_133</t>
  </si>
  <si>
    <t>KPIT_TC_FNC_USB_0796_0001</t>
  </si>
  <si>
    <t>KPIT_TC_DRT_VEH_051</t>
  </si>
  <si>
    <t>KPIT_TC_DRT_VEH_061</t>
  </si>
  <si>
    <t>KPIT_TC_DRT_AMFM_017</t>
  </si>
  <si>
    <t>KPIT_TC_DRT_AMFM_015</t>
  </si>
  <si>
    <t>KPIT_TC_DRT_AMFM_195</t>
  </si>
  <si>
    <t>KPIT_TC_DRT_AMFM_196</t>
  </si>
  <si>
    <t>KPIT_TC_DRT_AMFM_189</t>
  </si>
  <si>
    <t>KPIT_TC_DRT_DAB_047</t>
  </si>
  <si>
    <t>KPIT_TC_DRT_DAB_048</t>
  </si>
  <si>
    <t>KPIT_TC_DRT_SPCCP_103</t>
  </si>
  <si>
    <t>KPIT_TC_DRT_SPCCP_096</t>
  </si>
  <si>
    <t>KPIT_TC_DRT_SPCCP_037</t>
  </si>
  <si>
    <t>KPIT_TC_DRT_IVI_046</t>
  </si>
  <si>
    <t>KPIT_TC_DRT_KEY_022</t>
  </si>
  <si>
    <t>KPIT_TC_DRT_IDS_012</t>
  </si>
  <si>
    <t>KPIT_TC_DRT_IDS_002</t>
  </si>
  <si>
    <t>KPIT_TC_DRT_IDS_003</t>
  </si>
  <si>
    <t>KPIT_TC_DRT_IDS_008</t>
  </si>
  <si>
    <t>KPIT_TC_DRT_IDS_011</t>
  </si>
  <si>
    <t>KPIT_TC_DRT_IDS_013</t>
  </si>
  <si>
    <t>KPIT_TC_DRT_IDS_014</t>
  </si>
  <si>
    <t>KPIT_TC_DRT_IDS_015</t>
  </si>
  <si>
    <t>KPIT_TC_DRT_IDS_1216</t>
  </si>
  <si>
    <t>KPIT_TC_DRT_IDS_1215</t>
  </si>
  <si>
    <t>KPIT_TC_DRT_IDS_009</t>
  </si>
  <si>
    <t>KPIT_TC_DRT_IDS_016</t>
  </si>
  <si>
    <t>KPIT_TC_DRT_IDS_007</t>
  </si>
  <si>
    <t>KPIT_TC_DRT_IDS_018</t>
  </si>
  <si>
    <t>KPIT_TC_DRT_HOM_1259</t>
  </si>
  <si>
    <t>AFA1504D0.260317.1</t>
  </si>
  <si>
    <t>2026-03-17</t>
  </si>
  <si>
    <t>Test Env Issue</t>
  </si>
  <si>
    <t>Automation Setup Malfunction</t>
  </si>
  <si>
    <t>Image Comparison failed, Due to Brightness difference.</t>
  </si>
  <si>
    <t>Executed in daytime, result: Pass.</t>
  </si>
  <si>
    <t>Rajashri</t>
  </si>
  <si>
    <t>Vehicle Settings List view is displayed when the App is re-launched from Home screen after changing view as Button.
Defect is already raised, Defect : https://jira.honda-ivi.com/browse/PJ05DEF00-576.</t>
  </si>
  <si>
    <t>NA</t>
  </si>
  <si>
    <t>TS Issue</t>
  </si>
  <si>
    <t>Other TS Failed</t>
  </si>
  <si>
    <t>Generic FB "Select OK on Disclaimer Screen" is modified as per CR Change, which is applicable only for KA &amp; KC Regions, not for KY Region, Due to which TS is impacted.</t>
  </si>
  <si>
    <t>Executed manually in daytime, result: Pass.</t>
  </si>
  <si>
    <t>ICB Issue (Once)</t>
  </si>
  <si>
    <t>Once Seen</t>
  </si>
  <si>
    <t>Incoming Call Status is not displayed on Header while Wired CarPlay device is connected to ICB.
Defect is already raised, Defect : https://jira.honda-ivi.com/browse/PJ05DEF00-747</t>
  </si>
  <si>
    <t>Executed manually in daytime, result: Pass.
TS failed due to Valid ICB Issue, But TS Objective is Pass.</t>
  </si>
  <si>
    <t>Executed manually in daytime, result: Pass.
We will Pass the TS as TS objective is met.</t>
  </si>
  <si>
    <t>FB Modification Required</t>
  </si>
  <si>
    <t>Set Volume 20 from tuner failed due to brightness difference, Due to which audio validation failed.</t>
  </si>
  <si>
    <t>Send CAN Signal failed with Error: VectorXL Error Code : 11 -&gt; XL_ERR_QUEUE_IS_FULL.</t>
  </si>
  <si>
    <t>Test Env issue</t>
  </si>
  <si>
    <t>Automation Setup malfunction</t>
  </si>
  <si>
    <t>ICB issue</t>
  </si>
  <si>
    <t>Always</t>
  </si>
  <si>
    <t>TS issue</t>
  </si>
  <si>
    <t>A15-3448</t>
  </si>
  <si>
    <t>A15-3449</t>
  </si>
  <si>
    <t>A15-3466</t>
  </si>
  <si>
    <t>A15-3474</t>
  </si>
  <si>
    <t>A15-3470</t>
  </si>
  <si>
    <t>A15-3451</t>
  </si>
  <si>
    <t>A15-3452</t>
  </si>
  <si>
    <t>A15-3453</t>
  </si>
  <si>
    <t>A15-3454</t>
  </si>
  <si>
    <t>A15-3455</t>
  </si>
  <si>
    <t>A15-3467</t>
  </si>
  <si>
    <t>A15-3468</t>
  </si>
  <si>
    <t>A15-3444</t>
  </si>
  <si>
    <t>A15-3445</t>
  </si>
  <si>
    <t>A15-3446</t>
  </si>
  <si>
    <t>A15-3447</t>
  </si>
  <si>
    <t>A15-3450</t>
  </si>
  <si>
    <t>A15-3471</t>
  </si>
  <si>
    <t>A15-3465</t>
  </si>
  <si>
    <t>A15-3463</t>
  </si>
  <si>
    <t>A15-3458</t>
  </si>
  <si>
    <t>A15-3464</t>
  </si>
  <si>
    <t>A15-3461</t>
  </si>
  <si>
    <t>A15-3460</t>
  </si>
  <si>
    <t>A15-3462</t>
  </si>
  <si>
    <t>A15-3456</t>
  </si>
  <si>
    <t>A15-3457</t>
  </si>
  <si>
    <t>A15-3459</t>
  </si>
  <si>
    <t>A15-3473</t>
  </si>
  <si>
    <t>A15-3475</t>
  </si>
  <si>
    <t>A15-3472</t>
  </si>
  <si>
    <t>A15-3469</t>
  </si>
  <si>
    <t>Used R variant specific FB in failed TS.</t>
  </si>
  <si>
    <t>Reconnected Vector CAN hardware.</t>
  </si>
  <si>
    <t>Replaced old image with new image.</t>
  </si>
  <si>
    <t>Not Fixed</t>
  </si>
  <si>
    <t>Fixed</t>
  </si>
  <si>
    <t>KITE Issue</t>
  </si>
  <si>
    <t>ICB Issue (Always)</t>
  </si>
  <si>
    <t>Human Error</t>
  </si>
  <si>
    <t>SRL/CR Changes</t>
  </si>
  <si>
    <t>CAN Signal Issue</t>
  </si>
  <si>
    <t>Valid Issue</t>
  </si>
  <si>
    <t xml:space="preserve">SRL Change </t>
  </si>
  <si>
    <t>Image Comparison</t>
  </si>
  <si>
    <t>External Hardware Setup Malfunction</t>
  </si>
  <si>
    <t>GAS Implementation</t>
  </si>
  <si>
    <t>Timing Issue</t>
  </si>
  <si>
    <t> </t>
  </si>
  <si>
    <t>Audio Comparision</t>
  </si>
  <si>
    <t>External Application Issue</t>
  </si>
  <si>
    <t>UI Changed</t>
  </si>
  <si>
    <t>TS Modification Required</t>
  </si>
  <si>
    <t>CR Change</t>
  </si>
  <si>
    <t>Video Comparision</t>
  </si>
  <si>
    <t>Network Issue</t>
  </si>
  <si>
    <t>Robot Touch Operation</t>
  </si>
  <si>
    <t>Device Mapping Issue</t>
  </si>
  <si>
    <t>Hardware Blocker</t>
  </si>
  <si>
    <t>KITE Application Issue</t>
  </si>
  <si>
    <t xml:space="preserve"> KITE issue </t>
  </si>
  <si>
    <t xml:space="preserve"> TS issue </t>
  </si>
  <si>
    <t xml:space="preserve"> Test Env issue </t>
  </si>
  <si>
    <t xml:space="preserve"> Human error </t>
  </si>
  <si>
    <t xml:space="preserve"> ICB issue </t>
  </si>
  <si>
    <t xml:space="preserve"> CAN signal issue </t>
  </si>
  <si>
    <t xml:space="preserve"> Image comparison </t>
  </si>
  <si>
    <t xml:space="preserve"> Audio comparison </t>
  </si>
  <si>
    <t xml:space="preserve"> Video comparison </t>
  </si>
  <si>
    <t xml:space="preserve"> Robot operation </t>
  </si>
  <si>
    <t xml:space="preserve"> Device Mapping issue </t>
  </si>
  <si>
    <t xml:space="preserve"> KITE Application issue </t>
  </si>
  <si>
    <t xml:space="preserve"> TS logic incorrect </t>
  </si>
  <si>
    <t xml:space="preserve"> Once seen </t>
  </si>
  <si>
    <t xml:space="preserve"> Always</t>
  </si>
  <si>
    <t xml:space="preserve"> GAS implementation </t>
  </si>
  <si>
    <t xml:space="preserve"> Timing issue </t>
  </si>
  <si>
    <t xml:space="preserve"> SRL/CR changes </t>
  </si>
  <si>
    <t xml:space="preserve"> Automation Setup malfunction </t>
  </si>
  <si>
    <t xml:space="preserve"> External HW </t>
  </si>
  <si>
    <t xml:space="preserve"> External Application issue </t>
  </si>
  <si>
    <t xml:space="preserve"> Network Issue </t>
  </si>
  <si>
    <t xml:space="preserve"> Cascading Issue </t>
  </si>
  <si>
    <t>KPIT_TC_DRT_IVI_038</t>
  </si>
  <si>
    <t>KPIT_TC_DRT_IVI_039</t>
  </si>
  <si>
    <t>KPIT_TC_DRT_BT_033</t>
  </si>
  <si>
    <t>KPIT_TC_DRT_INL_006</t>
  </si>
  <si>
    <t>KPIT_TC_DRT_BTA_052</t>
  </si>
  <si>
    <t>KPIT_TC_DRT_BT_010</t>
  </si>
  <si>
    <t>ICB didn't transited to home screen, after selecting Home button twice.
Defectis already raised, Defect: https://jira.honda-ivi.com/browse/PJ05DEF00-785</t>
  </si>
  <si>
    <t>SUW Screen displayed after Connect New Device Popup untimely.</t>
  </si>
  <si>
    <t>A15-3419</t>
  </si>
  <si>
    <t>A15-3420</t>
  </si>
  <si>
    <t>A15-3424</t>
  </si>
  <si>
    <t>A15-3425</t>
  </si>
  <si>
    <t>A15-3415</t>
  </si>
  <si>
    <t>A15-3416</t>
  </si>
  <si>
    <t>|</t>
  </si>
  <si>
    <t>*Date*</t>
  </si>
  <si>
    <t>*Result*</t>
  </si>
  <si>
    <t>*Failure Category*</t>
  </si>
  <si>
    <t>*Failure Sub Category*</t>
  </si>
  <si>
    <t>*Root Cause Details*</t>
  </si>
  <si>
    <t>*Fixation Performed*</t>
  </si>
  <si>
    <t>*Remarks*</t>
  </si>
  <si>
    <t>*Reviewer*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</si>
</sst>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theme="1" tint="0.499984740745262"/>
      <name val="Aptos Narrow"/>
      <family val="2"/>
    </font>
    <font>
      <sz val="11"/>
      <color rgb="FF000000"/>
      <name val="Aptos Narrow"/>
      <family val="2"/>
    </font>
    <font>
      <sz val="11"/>
      <color theme="1" tint="0.499984740745262"/>
      <name val="Aptos Narrow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49" fontId="0" fillId="0" borderId="0" xfId="0" applyNumberFormat="1"/>
    <xf numFmtId="0" fontId="3" fillId="0" borderId="4" xfId="0" applyFont="1" applyBorder="1"/>
    <xf numFmtId="0" fontId="3" fillId="0" borderId="5" xfId="0" applyFont="1" applyBorder="1"/>
    <xf numFmtId="0" fontId="4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6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6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1" fillId="0" borderId="4" xfId="0" applyFont="1" applyBorder="1"/>
    <xf numFmtId="0" fontId="2" fillId="0" borderId="0" xfId="0" applyFont="1" applyBorder="1" applyAlignment="1"/>
    <xf numFmtId="0" fontId="0" fillId="0" borderId="14" xfId="0" applyNumberForma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49" fontId="0" fillId="0" borderId="19" xfId="0" applyNumberFormat="1" applyBorder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EA03-59C9-4420-A67B-C5E83965EE00}">
  <dimension ref="A1:G23"/>
  <sheetViews>
    <sheetView workbookViewId="0">
      <selection activeCell="F2" sqref="F2:F14"/>
    </sheetView>
  </sheetViews>
  <sheetFormatPr defaultColWidth="34.5703125" defaultRowHeight="15" x14ac:dyDescent="0.25"/>
  <cols>
    <col min="1" max="1" width="21.7109375" bestFit="1" customWidth="1"/>
    <col min="2" max="2" width="34.140625" bestFit="1" customWidth="1"/>
    <col min="3" max="3" width="23.28515625" bestFit="1" customWidth="1"/>
    <col min="4" max="4" width="17.7109375" bestFit="1" customWidth="1"/>
    <col min="5" max="5" width="23.42578125" bestFit="1" customWidth="1"/>
    <col min="6" max="6" width="12.28515625" bestFit="1" customWidth="1"/>
    <col min="7" max="7" width="16.28515625" bestFit="1" customWidth="1"/>
  </cols>
  <sheetData>
    <row r="1" spans="1:7" ht="15.75" thickBot="1" x14ac:dyDescent="0.3">
      <c r="A1" s="5" t="s">
        <v>110</v>
      </c>
      <c r="B1" s="6" t="s">
        <v>49</v>
      </c>
      <c r="C1" s="6" t="s">
        <v>60</v>
      </c>
      <c r="D1" s="6" t="s">
        <v>111</v>
      </c>
      <c r="E1" s="6" t="s">
        <v>56</v>
      </c>
      <c r="F1" s="6" t="s">
        <v>112</v>
      </c>
      <c r="G1" s="7" t="s">
        <v>113</v>
      </c>
    </row>
    <row r="2" spans="1:7" x14ac:dyDescent="0.25">
      <c r="A2" s="8" t="s">
        <v>114</v>
      </c>
      <c r="B2" s="9" t="s">
        <v>50</v>
      </c>
      <c r="C2" s="9" t="s">
        <v>61</v>
      </c>
      <c r="D2" s="9" t="s">
        <v>115</v>
      </c>
      <c r="E2" s="9" t="s">
        <v>57</v>
      </c>
      <c r="F2" s="10" t="s">
        <v>14</v>
      </c>
      <c r="G2" s="11" t="s">
        <v>116</v>
      </c>
    </row>
    <row r="3" spans="1:7" x14ac:dyDescent="0.25">
      <c r="A3" s="8" t="s">
        <v>117</v>
      </c>
      <c r="B3" s="9" t="s">
        <v>118</v>
      </c>
      <c r="C3" s="9" t="s">
        <v>119</v>
      </c>
      <c r="D3" s="9" t="s">
        <v>120</v>
      </c>
      <c r="E3" s="9" t="s">
        <v>65</v>
      </c>
      <c r="F3" s="9" t="s">
        <v>121</v>
      </c>
      <c r="G3" s="11" t="s">
        <v>120</v>
      </c>
    </row>
    <row r="4" spans="1:7" x14ac:dyDescent="0.25">
      <c r="A4" s="8" t="s">
        <v>122</v>
      </c>
      <c r="B4" s="9" t="s">
        <v>123</v>
      </c>
      <c r="C4" s="9" t="s">
        <v>120</v>
      </c>
      <c r="D4" s="9" t="s">
        <v>124</v>
      </c>
      <c r="E4" s="9" t="s">
        <v>125</v>
      </c>
      <c r="F4" s="9" t="s">
        <v>121</v>
      </c>
      <c r="G4" s="11" t="s">
        <v>126</v>
      </c>
    </row>
    <row r="5" spans="1:7" x14ac:dyDescent="0.25">
      <c r="A5" s="8" t="s">
        <v>127</v>
      </c>
      <c r="B5" s="9" t="s">
        <v>128</v>
      </c>
      <c r="C5" s="9" t="s">
        <v>125</v>
      </c>
      <c r="D5" s="9" t="s">
        <v>116</v>
      </c>
      <c r="E5" s="9" t="s">
        <v>121</v>
      </c>
      <c r="F5" s="9" t="s">
        <v>121</v>
      </c>
      <c r="G5" s="11" t="s">
        <v>121</v>
      </c>
    </row>
    <row r="6" spans="1:7" x14ac:dyDescent="0.25">
      <c r="A6" s="8" t="s">
        <v>129</v>
      </c>
      <c r="B6" s="9" t="s">
        <v>57</v>
      </c>
      <c r="C6" s="9" t="s">
        <v>57</v>
      </c>
      <c r="D6" s="9" t="s">
        <v>120</v>
      </c>
      <c r="E6" s="9" t="s">
        <v>121</v>
      </c>
      <c r="F6" s="9" t="s">
        <v>121</v>
      </c>
      <c r="G6" s="11" t="s">
        <v>121</v>
      </c>
    </row>
    <row r="7" spans="1:7" x14ac:dyDescent="0.25">
      <c r="A7" s="8" t="s">
        <v>130</v>
      </c>
      <c r="B7" s="9" t="s">
        <v>131</v>
      </c>
      <c r="C7" s="9" t="s">
        <v>121</v>
      </c>
      <c r="D7" s="9" t="s">
        <v>126</v>
      </c>
      <c r="E7" s="9" t="s">
        <v>121</v>
      </c>
      <c r="F7" s="9" t="s">
        <v>121</v>
      </c>
      <c r="G7" s="11" t="s">
        <v>121</v>
      </c>
    </row>
    <row r="8" spans="1:7" x14ac:dyDescent="0.25">
      <c r="A8" s="8" t="s">
        <v>132</v>
      </c>
      <c r="B8" s="9" t="s">
        <v>121</v>
      </c>
      <c r="C8" s="9" t="s">
        <v>121</v>
      </c>
      <c r="D8" s="9" t="s">
        <v>121</v>
      </c>
      <c r="E8" s="9" t="s">
        <v>121</v>
      </c>
      <c r="F8" s="9" t="s">
        <v>121</v>
      </c>
      <c r="G8" s="11" t="s">
        <v>121</v>
      </c>
    </row>
    <row r="9" spans="1:7" x14ac:dyDescent="0.25">
      <c r="A9" s="8" t="s">
        <v>121</v>
      </c>
      <c r="B9" s="9" t="s">
        <v>121</v>
      </c>
      <c r="C9" s="9" t="s">
        <v>121</v>
      </c>
      <c r="D9" s="9" t="s">
        <v>121</v>
      </c>
      <c r="E9" s="9" t="s">
        <v>121</v>
      </c>
      <c r="F9" s="9" t="s">
        <v>121</v>
      </c>
      <c r="G9" s="11" t="s">
        <v>121</v>
      </c>
    </row>
    <row r="10" spans="1:7" x14ac:dyDescent="0.25">
      <c r="A10" s="8"/>
      <c r="B10" s="9" t="s">
        <v>121</v>
      </c>
      <c r="C10" s="9" t="s">
        <v>121</v>
      </c>
      <c r="D10" s="9" t="s">
        <v>121</v>
      </c>
      <c r="E10" s="9" t="s">
        <v>121</v>
      </c>
      <c r="F10" s="9" t="s">
        <v>121</v>
      </c>
      <c r="G10" s="11" t="s">
        <v>121</v>
      </c>
    </row>
    <row r="11" spans="1:7" x14ac:dyDescent="0.25">
      <c r="A11" s="8" t="s">
        <v>121</v>
      </c>
      <c r="B11" s="9" t="s">
        <v>121</v>
      </c>
      <c r="C11" s="9" t="s">
        <v>121</v>
      </c>
      <c r="D11" s="9" t="s">
        <v>121</v>
      </c>
      <c r="E11" s="9" t="s">
        <v>121</v>
      </c>
      <c r="F11" s="9" t="s">
        <v>121</v>
      </c>
      <c r="G11" s="11" t="s">
        <v>121</v>
      </c>
    </row>
    <row r="12" spans="1:7" x14ac:dyDescent="0.25">
      <c r="A12" s="8" t="s">
        <v>121</v>
      </c>
      <c r="B12" s="9" t="s">
        <v>121</v>
      </c>
      <c r="C12" s="9" t="s">
        <v>121</v>
      </c>
      <c r="D12" s="9" t="s">
        <v>121</v>
      </c>
      <c r="E12" s="9" t="s">
        <v>121</v>
      </c>
      <c r="F12" s="9" t="s">
        <v>121</v>
      </c>
      <c r="G12" s="11" t="s">
        <v>121</v>
      </c>
    </row>
    <row r="13" spans="1:7" x14ac:dyDescent="0.25">
      <c r="A13" s="8" t="s">
        <v>121</v>
      </c>
      <c r="B13" s="9" t="s">
        <v>121</v>
      </c>
      <c r="C13" s="9" t="s">
        <v>121</v>
      </c>
      <c r="D13" s="9" t="s">
        <v>121</v>
      </c>
      <c r="E13" s="9" t="s">
        <v>121</v>
      </c>
      <c r="F13" s="9" t="s">
        <v>121</v>
      </c>
      <c r="G13" s="11" t="s">
        <v>121</v>
      </c>
    </row>
    <row r="14" spans="1:7" ht="15.75" thickBot="1" x14ac:dyDescent="0.3">
      <c r="A14" s="12" t="s">
        <v>121</v>
      </c>
      <c r="B14" s="13" t="s">
        <v>121</v>
      </c>
      <c r="C14" s="13" t="s">
        <v>121</v>
      </c>
      <c r="D14" s="13" t="s">
        <v>121</v>
      </c>
      <c r="E14" s="13" t="s">
        <v>121</v>
      </c>
      <c r="F14" s="13" t="s">
        <v>121</v>
      </c>
      <c r="G14" s="14" t="s">
        <v>121</v>
      </c>
    </row>
    <row r="15" spans="1:7" ht="15.75" thickBot="1" x14ac:dyDescent="0.3"/>
    <row r="16" spans="1:7" ht="15.75" thickBot="1" x14ac:dyDescent="0.3">
      <c r="A16" s="22" t="s">
        <v>133</v>
      </c>
      <c r="B16" s="22" t="s">
        <v>135</v>
      </c>
      <c r="C16" s="22" t="s">
        <v>137</v>
      </c>
      <c r="D16" s="22" t="s">
        <v>137</v>
      </c>
      <c r="E16" s="22" t="s">
        <v>134</v>
      </c>
      <c r="F16" s="22" t="s">
        <v>136</v>
      </c>
    </row>
    <row r="17" spans="1:6" x14ac:dyDescent="0.25">
      <c r="A17" s="21" t="s">
        <v>138</v>
      </c>
      <c r="B17" s="21" t="s">
        <v>151</v>
      </c>
      <c r="C17" s="21" t="s">
        <v>146</v>
      </c>
      <c r="D17" s="21" t="s">
        <v>147</v>
      </c>
      <c r="E17" s="21" t="s">
        <v>145</v>
      </c>
      <c r="F17" s="21" t="s">
        <v>14</v>
      </c>
    </row>
    <row r="18" spans="1:6" x14ac:dyDescent="0.25">
      <c r="A18" s="2" t="s">
        <v>139</v>
      </c>
      <c r="B18" s="2" t="s">
        <v>152</v>
      </c>
      <c r="C18" s="2" t="s">
        <v>148</v>
      </c>
      <c r="D18" s="2" t="s">
        <v>149</v>
      </c>
      <c r="E18" s="2"/>
      <c r="F18" s="2"/>
    </row>
    <row r="19" spans="1:6" x14ac:dyDescent="0.25">
      <c r="A19" s="2" t="s">
        <v>140</v>
      </c>
      <c r="B19" s="2" t="s">
        <v>153</v>
      </c>
      <c r="C19" s="2" t="s">
        <v>149</v>
      </c>
      <c r="D19" s="2" t="s">
        <v>150</v>
      </c>
      <c r="E19" s="2"/>
      <c r="F19" s="2"/>
    </row>
    <row r="20" spans="1:6" x14ac:dyDescent="0.25">
      <c r="A20" s="2" t="s">
        <v>141</v>
      </c>
      <c r="B20" s="2" t="s">
        <v>154</v>
      </c>
      <c r="C20" s="2"/>
      <c r="D20" s="2"/>
      <c r="E20" s="2"/>
      <c r="F20" s="2"/>
    </row>
    <row r="21" spans="1:6" x14ac:dyDescent="0.25">
      <c r="A21" s="2" t="s">
        <v>142</v>
      </c>
      <c r="B21" s="2" t="s">
        <v>155</v>
      </c>
      <c r="C21" s="2"/>
      <c r="D21" s="2"/>
      <c r="E21" s="2"/>
      <c r="F21" s="2"/>
    </row>
    <row r="22" spans="1:6" x14ac:dyDescent="0.25">
      <c r="A22" s="2" t="s">
        <v>143</v>
      </c>
      <c r="B22" s="2"/>
      <c r="C22" s="2"/>
      <c r="D22" s="2"/>
      <c r="E22" s="2"/>
      <c r="F22" s="2"/>
    </row>
    <row r="23" spans="1:6" ht="15.75" thickBot="1" x14ac:dyDescent="0.3">
      <c r="A23" s="3" t="s">
        <v>144</v>
      </c>
      <c r="B23" s="3"/>
      <c r="C23" s="3"/>
      <c r="D23" s="3"/>
      <c r="E23" s="3"/>
      <c r="F2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BA67-EDFE-4A2A-AACD-3E43E192CC72}">
  <dimension ref="A1:XFD12"/>
  <sheetViews>
    <sheetView tabSelected="1" workbookViewId="0">
      <selection activeCell="B14" sqref="B14:B19"/>
    </sheetView>
  </sheetViews>
  <sheetFormatPr defaultRowHeight="15" x14ac:dyDescent="0.25"/>
  <cols>
    <col min="1" max="1" width="2" bestFit="1" customWidth="1"/>
    <col min="2" max="2" width="33" bestFit="1" customWidth="1"/>
    <col min="3" max="3" width="2" bestFit="1" customWidth="1"/>
    <col min="4" max="4" width="22.140625" customWidth="1"/>
    <col min="5" max="5" width="2" bestFit="1" customWidth="1"/>
    <col min="6" max="6" width="22.140625" customWidth="1"/>
    <col min="7" max="7" width="2" bestFit="1" customWidth="1"/>
    <col min="8" max="8" width="22.140625" customWidth="1"/>
    <col min="9" max="9" width="2" bestFit="1" customWidth="1"/>
    <col min="10" max="10" width="22.140625" customWidth="1"/>
    <col min="11" max="11" width="2" bestFit="1" customWidth="1"/>
    <col min="12" max="12" width="22.140625" customWidth="1"/>
    <col min="13" max="13" width="2" bestFit="1" customWidth="1"/>
    <col min="14" max="14" width="22.140625" customWidth="1"/>
    <col min="15" max="15" width="2" bestFit="1" customWidth="1"/>
    <col min="16" max="16" width="22.140625" customWidth="1"/>
    <col min="17" max="17" width="2" bestFit="1" customWidth="1"/>
  </cols>
  <sheetData>
    <row r="1" spans="1:17 16384:16384" x14ac:dyDescent="0.25">
      <c r="A1" s="15" t="s">
        <v>170</v>
      </c>
      <c r="B1" s="16" t="s">
        <v>171</v>
      </c>
      <c r="C1" s="16" t="s">
        <v>170</v>
      </c>
      <c r="D1" s="16" t="s">
        <v>172</v>
      </c>
      <c r="E1" s="16" t="s">
        <v>170</v>
      </c>
      <c r="F1" s="16" t="s">
        <v>173</v>
      </c>
      <c r="G1" s="16" t="s">
        <v>170</v>
      </c>
      <c r="H1" s="16" t="s">
        <v>174</v>
      </c>
      <c r="I1" s="16" t="s">
        <v>170</v>
      </c>
      <c r="J1" s="16" t="s">
        <v>175</v>
      </c>
      <c r="K1" s="16" t="s">
        <v>170</v>
      </c>
      <c r="L1" s="16" t="s">
        <v>176</v>
      </c>
      <c r="M1" s="16" t="s">
        <v>170</v>
      </c>
      <c r="N1" s="16" t="s">
        <v>177</v>
      </c>
      <c r="O1" s="16" t="s">
        <v>170</v>
      </c>
      <c r="P1" s="16" t="s">
        <v>178</v>
      </c>
      <c r="Q1" s="17" t="s">
        <v>170</v>
      </c>
    </row>
    <row r="2" spans="1:17 16384:16384" ht="15.75" thickBot="1" x14ac:dyDescent="0.3">
      <c r="A2" s="18" t="s">
        <v>170</v>
      </c>
      <c r="B2" s="24" t="str">
        <f>_xlfn.CONCAT(D5," *[",D6,"]*")</f>
        <v>2026-03-17 *[AFA1504D0.260317.1]*</v>
      </c>
      <c r="C2" s="19" t="s">
        <v>170</v>
      </c>
      <c r="D2" s="19" t="s">
        <v>13</v>
      </c>
      <c r="E2" s="19" t="s">
        <v>170</v>
      </c>
      <c r="F2" s="19" t="str">
        <f>D7</f>
        <v>ICB Issue (Once)</v>
      </c>
      <c r="G2" s="19" t="s">
        <v>170</v>
      </c>
      <c r="H2" s="19" t="str">
        <f>D8</f>
        <v>Timing Issue</v>
      </c>
      <c r="I2" s="19" t="s">
        <v>170</v>
      </c>
      <c r="J2" s="19" t="str">
        <f>D9</f>
        <v>SUW Screen displayed after Connect New Device Popup untimely.</v>
      </c>
      <c r="K2" s="19" t="s">
        <v>170</v>
      </c>
      <c r="L2" s="19" t="str">
        <f>D10</f>
        <v>NA</v>
      </c>
      <c r="M2" s="19" t="s">
        <v>170</v>
      </c>
      <c r="N2" s="19" t="str">
        <f>D11</f>
        <v>Executed manually in daytime, result: Pass.</v>
      </c>
      <c r="O2" s="19" t="s">
        <v>170</v>
      </c>
      <c r="P2" s="19" t="str">
        <f>D12</f>
        <v>Rajashri</v>
      </c>
      <c r="Q2" s="20" t="s">
        <v>170</v>
      </c>
      <c r="XFD2" s="23" t="b">
        <f xml:space="preserve">
IF(D7="KITE Issue","KITE_Issue")</f>
        <v>0</v>
      </c>
    </row>
    <row r="4" spans="1:17 16384:16384" ht="15.75" thickBot="1" x14ac:dyDescent="0.3"/>
    <row r="5" spans="1:17 16384:16384" x14ac:dyDescent="0.25">
      <c r="A5" s="25" t="s">
        <v>170</v>
      </c>
      <c r="B5" s="28" t="s">
        <v>2</v>
      </c>
      <c r="C5" s="31" t="s">
        <v>170</v>
      </c>
      <c r="D5" s="37" t="s">
        <v>48</v>
      </c>
      <c r="E5" s="34" t="s">
        <v>170</v>
      </c>
    </row>
    <row r="6" spans="1:17 16384:16384" x14ac:dyDescent="0.25">
      <c r="A6" s="26" t="s">
        <v>170</v>
      </c>
      <c r="B6" s="29" t="s">
        <v>12</v>
      </c>
      <c r="C6" s="32" t="s">
        <v>170</v>
      </c>
      <c r="D6" s="2" t="s">
        <v>47</v>
      </c>
      <c r="E6" s="35" t="s">
        <v>170</v>
      </c>
    </row>
    <row r="7" spans="1:17 16384:16384" x14ac:dyDescent="0.25">
      <c r="A7" s="26" t="s">
        <v>170</v>
      </c>
      <c r="B7" s="29" t="s">
        <v>5</v>
      </c>
      <c r="C7" s="32" t="s">
        <v>170</v>
      </c>
      <c r="D7" s="2" t="s">
        <v>60</v>
      </c>
      <c r="E7" s="35" t="s">
        <v>170</v>
      </c>
    </row>
    <row r="8" spans="1:17 16384:16384" x14ac:dyDescent="0.25">
      <c r="A8" s="26" t="s">
        <v>170</v>
      </c>
      <c r="B8" s="29" t="s">
        <v>6</v>
      </c>
      <c r="C8" s="32" t="s">
        <v>170</v>
      </c>
      <c r="D8" s="2" t="s">
        <v>120</v>
      </c>
      <c r="E8" s="35" t="s">
        <v>170</v>
      </c>
    </row>
    <row r="9" spans="1:17 16384:16384" x14ac:dyDescent="0.25">
      <c r="A9" s="26" t="s">
        <v>170</v>
      </c>
      <c r="B9" s="29" t="s">
        <v>7</v>
      </c>
      <c r="C9" s="32" t="s">
        <v>170</v>
      </c>
      <c r="D9" s="38" t="s">
        <v>163</v>
      </c>
      <c r="E9" s="35" t="s">
        <v>170</v>
      </c>
    </row>
    <row r="10" spans="1:17 16384:16384" x14ac:dyDescent="0.25">
      <c r="A10" s="26" t="s">
        <v>170</v>
      </c>
      <c r="B10" s="29" t="s">
        <v>8</v>
      </c>
      <c r="C10" s="32" t="s">
        <v>170</v>
      </c>
      <c r="D10" s="2" t="s">
        <v>55</v>
      </c>
      <c r="E10" s="35" t="s">
        <v>170</v>
      </c>
    </row>
    <row r="11" spans="1:17 16384:16384" x14ac:dyDescent="0.25">
      <c r="A11" s="26" t="s">
        <v>170</v>
      </c>
      <c r="B11" s="29" t="s">
        <v>9</v>
      </c>
      <c r="C11" s="32" t="s">
        <v>170</v>
      </c>
      <c r="D11" s="2" t="s">
        <v>59</v>
      </c>
      <c r="E11" s="35" t="s">
        <v>170</v>
      </c>
    </row>
    <row r="12" spans="1:17 16384:16384" ht="15.75" thickBot="1" x14ac:dyDescent="0.3">
      <c r="A12" s="27" t="s">
        <v>170</v>
      </c>
      <c r="B12" s="30" t="s">
        <v>10</v>
      </c>
      <c r="C12" s="33" t="s">
        <v>170</v>
      </c>
      <c r="D12" s="3" t="s">
        <v>53</v>
      </c>
      <c r="E12" s="36" t="s">
        <v>170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58EB54-1D0D-46B9-B72C-428F88DBDA94}">
          <x14:formula1>
            <xm:f>References!$A$1:$F$1</xm:f>
          </x14:formula1>
          <xm:sqref>D7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opLeftCell="A13" workbookViewId="0">
      <selection activeCell="L37" sqref="L37"/>
    </sheetView>
  </sheetViews>
  <sheetFormatPr defaultRowHeight="15" x14ac:dyDescent="0.25"/>
  <cols>
    <col min="3" max="3" width="9.140625" style="4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73</v>
      </c>
      <c r="B2" t="s">
        <v>15</v>
      </c>
      <c r="C2" s="4" t="s">
        <v>48</v>
      </c>
      <c r="D2" t="s">
        <v>47</v>
      </c>
      <c r="E2" t="s">
        <v>13</v>
      </c>
      <c r="F2" t="s">
        <v>68</v>
      </c>
      <c r="G2" t="s">
        <v>69</v>
      </c>
      <c r="H2" t="s">
        <v>51</v>
      </c>
      <c r="I2" t="s">
        <v>107</v>
      </c>
      <c r="J2" t="s">
        <v>52</v>
      </c>
      <c r="K2" t="s">
        <v>53</v>
      </c>
      <c r="L2" t="s">
        <v>109</v>
      </c>
    </row>
    <row r="3" spans="1:12" x14ac:dyDescent="0.25">
      <c r="A3" t="s">
        <v>74</v>
      </c>
      <c r="B3" t="s">
        <v>16</v>
      </c>
      <c r="C3" s="4" t="s">
        <v>48</v>
      </c>
      <c r="D3" t="s">
        <v>47</v>
      </c>
      <c r="E3" t="s">
        <v>13</v>
      </c>
      <c r="F3" t="s">
        <v>68</v>
      </c>
      <c r="G3" t="s">
        <v>69</v>
      </c>
      <c r="H3" t="s">
        <v>51</v>
      </c>
      <c r="I3" t="s">
        <v>107</v>
      </c>
      <c r="J3" t="s">
        <v>52</v>
      </c>
      <c r="K3" t="s">
        <v>53</v>
      </c>
      <c r="L3" t="s">
        <v>109</v>
      </c>
    </row>
    <row r="4" spans="1:12" x14ac:dyDescent="0.25">
      <c r="A4" t="s">
        <v>75</v>
      </c>
      <c r="B4" t="s">
        <v>17</v>
      </c>
      <c r="C4" s="4" t="s">
        <v>48</v>
      </c>
      <c r="D4" t="s">
        <v>47</v>
      </c>
      <c r="E4" t="s">
        <v>13</v>
      </c>
      <c r="F4" t="s">
        <v>68</v>
      </c>
      <c r="G4" t="s">
        <v>69</v>
      </c>
      <c r="H4" t="s">
        <v>51</v>
      </c>
      <c r="I4" t="s">
        <v>107</v>
      </c>
      <c r="J4" t="s">
        <v>52</v>
      </c>
      <c r="K4" t="s">
        <v>53</v>
      </c>
      <c r="L4" t="s">
        <v>109</v>
      </c>
    </row>
    <row r="5" spans="1:12" x14ac:dyDescent="0.25">
      <c r="A5" t="s">
        <v>76</v>
      </c>
      <c r="B5" t="s">
        <v>18</v>
      </c>
      <c r="C5" s="4" t="s">
        <v>48</v>
      </c>
      <c r="D5" t="s">
        <v>47</v>
      </c>
      <c r="E5" t="s">
        <v>13</v>
      </c>
      <c r="F5" t="s">
        <v>68</v>
      </c>
      <c r="G5" t="s">
        <v>69</v>
      </c>
      <c r="H5" t="s">
        <v>54</v>
      </c>
      <c r="I5" t="s">
        <v>55</v>
      </c>
      <c r="J5" t="s">
        <v>52</v>
      </c>
      <c r="K5" t="s">
        <v>53</v>
      </c>
      <c r="L5" t="s">
        <v>108</v>
      </c>
    </row>
    <row r="6" spans="1:12" x14ac:dyDescent="0.25">
      <c r="A6" t="s">
        <v>77</v>
      </c>
      <c r="B6" t="s">
        <v>19</v>
      </c>
      <c r="C6" s="4" t="s">
        <v>48</v>
      </c>
      <c r="D6" t="s">
        <v>47</v>
      </c>
      <c r="E6" t="s">
        <v>13</v>
      </c>
      <c r="F6" t="s">
        <v>68</v>
      </c>
      <c r="G6" t="s">
        <v>69</v>
      </c>
      <c r="H6" t="s">
        <v>54</v>
      </c>
      <c r="I6" t="s">
        <v>55</v>
      </c>
      <c r="J6" t="s">
        <v>52</v>
      </c>
      <c r="K6" t="s">
        <v>53</v>
      </c>
      <c r="L6" t="s">
        <v>108</v>
      </c>
    </row>
    <row r="7" spans="1:12" x14ac:dyDescent="0.25">
      <c r="A7" t="s">
        <v>78</v>
      </c>
      <c r="B7" t="s">
        <v>20</v>
      </c>
      <c r="C7" s="4" t="s">
        <v>48</v>
      </c>
      <c r="D7" t="s">
        <v>47</v>
      </c>
      <c r="E7" t="s">
        <v>13</v>
      </c>
      <c r="F7" t="s">
        <v>72</v>
      </c>
      <c r="G7" t="s">
        <v>57</v>
      </c>
      <c r="H7" t="s">
        <v>58</v>
      </c>
      <c r="I7" t="s">
        <v>105</v>
      </c>
      <c r="J7" t="s">
        <v>59</v>
      </c>
      <c r="K7" t="s">
        <v>53</v>
      </c>
      <c r="L7" t="s">
        <v>109</v>
      </c>
    </row>
    <row r="8" spans="1:12" x14ac:dyDescent="0.25">
      <c r="A8" t="s">
        <v>79</v>
      </c>
      <c r="B8" t="s">
        <v>21</v>
      </c>
      <c r="C8" s="4" t="s">
        <v>48</v>
      </c>
      <c r="D8" t="s">
        <v>47</v>
      </c>
      <c r="E8" t="s">
        <v>13</v>
      </c>
      <c r="F8" t="s">
        <v>72</v>
      </c>
      <c r="G8" t="s">
        <v>57</v>
      </c>
      <c r="H8" t="s">
        <v>58</v>
      </c>
      <c r="I8" t="s">
        <v>105</v>
      </c>
      <c r="J8" t="s">
        <v>59</v>
      </c>
      <c r="K8" t="s">
        <v>53</v>
      </c>
      <c r="L8" t="s">
        <v>109</v>
      </c>
    </row>
    <row r="9" spans="1:12" x14ac:dyDescent="0.25">
      <c r="A9" t="s">
        <v>80</v>
      </c>
      <c r="B9" t="s">
        <v>22</v>
      </c>
      <c r="C9" s="4" t="s">
        <v>48</v>
      </c>
      <c r="D9" t="s">
        <v>47</v>
      </c>
      <c r="E9" t="s">
        <v>13</v>
      </c>
      <c r="F9" t="s">
        <v>72</v>
      </c>
      <c r="G9" t="s">
        <v>57</v>
      </c>
      <c r="H9" t="s">
        <v>58</v>
      </c>
      <c r="I9" t="s">
        <v>105</v>
      </c>
      <c r="J9" t="s">
        <v>59</v>
      </c>
      <c r="K9" t="s">
        <v>53</v>
      </c>
      <c r="L9" t="s">
        <v>109</v>
      </c>
    </row>
    <row r="10" spans="1:12" x14ac:dyDescent="0.25">
      <c r="A10" t="s">
        <v>81</v>
      </c>
      <c r="B10" t="s">
        <v>23</v>
      </c>
      <c r="C10" s="4" t="s">
        <v>48</v>
      </c>
      <c r="D10" t="s">
        <v>47</v>
      </c>
      <c r="E10" t="s">
        <v>13</v>
      </c>
      <c r="F10" t="s">
        <v>72</v>
      </c>
      <c r="G10" t="s">
        <v>57</v>
      </c>
      <c r="H10" t="s">
        <v>58</v>
      </c>
      <c r="I10" t="s">
        <v>105</v>
      </c>
      <c r="J10" t="s">
        <v>59</v>
      </c>
      <c r="K10" t="s">
        <v>53</v>
      </c>
      <c r="L10" t="s">
        <v>109</v>
      </c>
    </row>
    <row r="11" spans="1:12" x14ac:dyDescent="0.25">
      <c r="A11" t="s">
        <v>82</v>
      </c>
      <c r="B11" t="s">
        <v>24</v>
      </c>
      <c r="C11" s="4" t="s">
        <v>48</v>
      </c>
      <c r="D11" t="s">
        <v>47</v>
      </c>
      <c r="E11" t="s">
        <v>13</v>
      </c>
      <c r="F11" t="s">
        <v>72</v>
      </c>
      <c r="G11" t="s">
        <v>57</v>
      </c>
      <c r="H11" t="s">
        <v>58</v>
      </c>
      <c r="I11" t="s">
        <v>105</v>
      </c>
      <c r="J11" t="s">
        <v>59</v>
      </c>
      <c r="K11" t="s">
        <v>53</v>
      </c>
      <c r="L11" t="s">
        <v>109</v>
      </c>
    </row>
    <row r="12" spans="1:12" x14ac:dyDescent="0.25">
      <c r="A12" t="s">
        <v>83</v>
      </c>
      <c r="B12" t="s">
        <v>25</v>
      </c>
      <c r="C12" s="4" t="s">
        <v>48</v>
      </c>
      <c r="D12" t="s">
        <v>47</v>
      </c>
      <c r="E12" t="s">
        <v>13</v>
      </c>
      <c r="F12" t="s">
        <v>72</v>
      </c>
      <c r="G12" t="s">
        <v>57</v>
      </c>
      <c r="H12" t="s">
        <v>58</v>
      </c>
      <c r="I12" t="s">
        <v>105</v>
      </c>
      <c r="J12" t="s">
        <v>59</v>
      </c>
      <c r="K12" t="s">
        <v>53</v>
      </c>
      <c r="L12" t="s">
        <v>109</v>
      </c>
    </row>
    <row r="13" spans="1:12" x14ac:dyDescent="0.25">
      <c r="A13" t="s">
        <v>84</v>
      </c>
      <c r="B13" t="s">
        <v>26</v>
      </c>
      <c r="C13" s="4" t="s">
        <v>48</v>
      </c>
      <c r="D13" t="s">
        <v>47</v>
      </c>
      <c r="E13" t="s">
        <v>13</v>
      </c>
      <c r="F13" t="s">
        <v>72</v>
      </c>
      <c r="G13" t="s">
        <v>57</v>
      </c>
      <c r="H13" t="s">
        <v>58</v>
      </c>
      <c r="I13" t="s">
        <v>105</v>
      </c>
      <c r="J13" t="s">
        <v>59</v>
      </c>
      <c r="K13" t="s">
        <v>53</v>
      </c>
      <c r="L13" t="s">
        <v>109</v>
      </c>
    </row>
    <row r="14" spans="1:12" x14ac:dyDescent="0.25">
      <c r="A14" t="s">
        <v>85</v>
      </c>
      <c r="B14" t="s">
        <v>27</v>
      </c>
      <c r="C14" s="4" t="s">
        <v>48</v>
      </c>
      <c r="D14" t="s">
        <v>47</v>
      </c>
      <c r="E14" t="s">
        <v>13</v>
      </c>
      <c r="F14" t="s">
        <v>70</v>
      </c>
      <c r="G14" t="s">
        <v>71</v>
      </c>
      <c r="H14" t="s">
        <v>62</v>
      </c>
      <c r="I14" t="s">
        <v>55</v>
      </c>
      <c r="J14" t="s">
        <v>63</v>
      </c>
      <c r="K14" t="s">
        <v>53</v>
      </c>
      <c r="L14" t="s">
        <v>108</v>
      </c>
    </row>
    <row r="15" spans="1:12" x14ac:dyDescent="0.25">
      <c r="A15" t="s">
        <v>86</v>
      </c>
      <c r="B15" t="s">
        <v>28</v>
      </c>
      <c r="C15" s="4" t="s">
        <v>48</v>
      </c>
      <c r="D15" t="s">
        <v>47</v>
      </c>
      <c r="E15" t="s">
        <v>13</v>
      </c>
      <c r="F15" t="s">
        <v>70</v>
      </c>
      <c r="G15" t="s">
        <v>71</v>
      </c>
      <c r="H15" t="s">
        <v>62</v>
      </c>
      <c r="I15" t="s">
        <v>55</v>
      </c>
      <c r="J15" t="s">
        <v>64</v>
      </c>
      <c r="K15" t="s">
        <v>53</v>
      </c>
      <c r="L15" t="s">
        <v>108</v>
      </c>
    </row>
    <row r="16" spans="1:12" x14ac:dyDescent="0.25">
      <c r="A16" t="s">
        <v>87</v>
      </c>
      <c r="B16" t="s">
        <v>29</v>
      </c>
      <c r="C16" s="4" t="s">
        <v>48</v>
      </c>
      <c r="D16" t="s">
        <v>47</v>
      </c>
      <c r="E16" t="s">
        <v>13</v>
      </c>
      <c r="F16" t="s">
        <v>70</v>
      </c>
      <c r="G16" t="s">
        <v>71</v>
      </c>
      <c r="H16" t="s">
        <v>62</v>
      </c>
      <c r="I16" t="s">
        <v>55</v>
      </c>
      <c r="J16" t="s">
        <v>64</v>
      </c>
      <c r="K16" t="s">
        <v>53</v>
      </c>
      <c r="L16" t="s">
        <v>108</v>
      </c>
    </row>
    <row r="17" spans="1:12" x14ac:dyDescent="0.25">
      <c r="A17" t="s">
        <v>88</v>
      </c>
      <c r="B17" t="s">
        <v>30</v>
      </c>
      <c r="C17" s="4" t="s">
        <v>48</v>
      </c>
      <c r="D17" t="s">
        <v>47</v>
      </c>
      <c r="E17" t="s">
        <v>13</v>
      </c>
      <c r="F17" t="s">
        <v>72</v>
      </c>
      <c r="G17" t="s">
        <v>65</v>
      </c>
      <c r="H17" t="s">
        <v>58</v>
      </c>
      <c r="I17" t="s">
        <v>105</v>
      </c>
      <c r="J17" t="s">
        <v>59</v>
      </c>
      <c r="K17" t="s">
        <v>53</v>
      </c>
      <c r="L17" t="s">
        <v>109</v>
      </c>
    </row>
    <row r="18" spans="1:12" x14ac:dyDescent="0.25">
      <c r="A18" t="s">
        <v>89</v>
      </c>
      <c r="B18" t="s">
        <v>31</v>
      </c>
      <c r="C18" s="4" t="s">
        <v>48</v>
      </c>
      <c r="D18" t="s">
        <v>47</v>
      </c>
      <c r="E18" t="s">
        <v>13</v>
      </c>
      <c r="F18" t="s">
        <v>68</v>
      </c>
      <c r="G18" t="s">
        <v>69</v>
      </c>
      <c r="H18" t="s">
        <v>66</v>
      </c>
      <c r="I18" t="s">
        <v>55</v>
      </c>
      <c r="J18" t="s">
        <v>52</v>
      </c>
      <c r="K18" t="s">
        <v>53</v>
      </c>
      <c r="L18" t="s">
        <v>108</v>
      </c>
    </row>
    <row r="19" spans="1:12" x14ac:dyDescent="0.25">
      <c r="A19" t="s">
        <v>90</v>
      </c>
      <c r="B19" t="s">
        <v>32</v>
      </c>
      <c r="C19" s="4" t="s">
        <v>48</v>
      </c>
      <c r="D19" t="s">
        <v>47</v>
      </c>
      <c r="E19" t="s">
        <v>13</v>
      </c>
      <c r="F19" t="s">
        <v>72</v>
      </c>
      <c r="G19" t="s">
        <v>57</v>
      </c>
      <c r="H19" t="s">
        <v>58</v>
      </c>
      <c r="I19" t="s">
        <v>105</v>
      </c>
      <c r="J19" t="s">
        <v>52</v>
      </c>
      <c r="K19" t="s">
        <v>53</v>
      </c>
      <c r="L19" t="s">
        <v>109</v>
      </c>
    </row>
    <row r="20" spans="1:12" x14ac:dyDescent="0.25">
      <c r="A20" t="s">
        <v>91</v>
      </c>
      <c r="B20" t="s">
        <v>33</v>
      </c>
      <c r="C20" s="4" t="s">
        <v>48</v>
      </c>
      <c r="D20" t="s">
        <v>47</v>
      </c>
      <c r="E20" t="s">
        <v>13</v>
      </c>
      <c r="F20" t="s">
        <v>72</v>
      </c>
      <c r="G20" t="s">
        <v>57</v>
      </c>
      <c r="H20" t="s">
        <v>58</v>
      </c>
      <c r="I20" t="s">
        <v>105</v>
      </c>
      <c r="J20" t="s">
        <v>52</v>
      </c>
      <c r="K20" t="s">
        <v>53</v>
      </c>
      <c r="L20" t="s">
        <v>109</v>
      </c>
    </row>
    <row r="21" spans="1:12" x14ac:dyDescent="0.25">
      <c r="A21" t="s">
        <v>92</v>
      </c>
      <c r="B21" t="s">
        <v>34</v>
      </c>
      <c r="C21" s="4" t="s">
        <v>48</v>
      </c>
      <c r="D21" t="s">
        <v>47</v>
      </c>
      <c r="E21" t="s">
        <v>13</v>
      </c>
      <c r="F21" t="s">
        <v>72</v>
      </c>
      <c r="G21" t="s">
        <v>57</v>
      </c>
      <c r="H21" t="s">
        <v>58</v>
      </c>
      <c r="I21" t="s">
        <v>105</v>
      </c>
      <c r="J21" t="s">
        <v>52</v>
      </c>
      <c r="K21" t="s">
        <v>53</v>
      </c>
      <c r="L21" t="s">
        <v>109</v>
      </c>
    </row>
    <row r="22" spans="1:12" x14ac:dyDescent="0.25">
      <c r="A22" t="s">
        <v>93</v>
      </c>
      <c r="B22" t="s">
        <v>35</v>
      </c>
      <c r="C22" s="4" t="s">
        <v>48</v>
      </c>
      <c r="D22" t="s">
        <v>47</v>
      </c>
      <c r="E22" t="s">
        <v>13</v>
      </c>
      <c r="F22" t="s">
        <v>72</v>
      </c>
      <c r="G22" t="s">
        <v>57</v>
      </c>
      <c r="H22" t="s">
        <v>58</v>
      </c>
      <c r="I22" t="s">
        <v>105</v>
      </c>
      <c r="J22" t="s">
        <v>52</v>
      </c>
      <c r="K22" t="s">
        <v>53</v>
      </c>
      <c r="L22" t="s">
        <v>109</v>
      </c>
    </row>
    <row r="23" spans="1:12" x14ac:dyDescent="0.25">
      <c r="A23" t="s">
        <v>94</v>
      </c>
      <c r="B23" t="s">
        <v>36</v>
      </c>
      <c r="C23" s="4" t="s">
        <v>48</v>
      </c>
      <c r="D23" t="s">
        <v>47</v>
      </c>
      <c r="E23" t="s">
        <v>13</v>
      </c>
      <c r="F23" t="s">
        <v>72</v>
      </c>
      <c r="G23" t="s">
        <v>57</v>
      </c>
      <c r="H23" t="s">
        <v>58</v>
      </c>
      <c r="I23" t="s">
        <v>105</v>
      </c>
      <c r="J23" t="s">
        <v>52</v>
      </c>
      <c r="K23" t="s">
        <v>53</v>
      </c>
      <c r="L23" t="s">
        <v>109</v>
      </c>
    </row>
    <row r="24" spans="1:12" x14ac:dyDescent="0.25">
      <c r="A24" t="s">
        <v>95</v>
      </c>
      <c r="B24" t="s">
        <v>37</v>
      </c>
      <c r="C24" s="4" t="s">
        <v>48</v>
      </c>
      <c r="D24" t="s">
        <v>47</v>
      </c>
      <c r="E24" t="s">
        <v>13</v>
      </c>
      <c r="F24" t="s">
        <v>72</v>
      </c>
      <c r="G24" t="s">
        <v>57</v>
      </c>
      <c r="H24" t="s">
        <v>58</v>
      </c>
      <c r="I24" t="s">
        <v>105</v>
      </c>
      <c r="J24" t="s">
        <v>52</v>
      </c>
      <c r="K24" t="s">
        <v>53</v>
      </c>
      <c r="L24" t="s">
        <v>109</v>
      </c>
    </row>
    <row r="25" spans="1:12" x14ac:dyDescent="0.25">
      <c r="A25" t="s">
        <v>96</v>
      </c>
      <c r="B25" t="s">
        <v>38</v>
      </c>
      <c r="C25" s="4" t="s">
        <v>48</v>
      </c>
      <c r="D25" t="s">
        <v>47</v>
      </c>
      <c r="E25" t="s">
        <v>13</v>
      </c>
      <c r="F25" t="s">
        <v>68</v>
      </c>
      <c r="G25" t="s">
        <v>69</v>
      </c>
      <c r="H25" t="s">
        <v>67</v>
      </c>
      <c r="I25" t="s">
        <v>106</v>
      </c>
      <c r="J25" t="s">
        <v>52</v>
      </c>
      <c r="K25" t="s">
        <v>53</v>
      </c>
      <c r="L25" t="s">
        <v>109</v>
      </c>
    </row>
    <row r="26" spans="1:12" x14ac:dyDescent="0.25">
      <c r="A26" t="s">
        <v>97</v>
      </c>
      <c r="B26" t="s">
        <v>39</v>
      </c>
      <c r="C26" s="4" t="s">
        <v>48</v>
      </c>
      <c r="D26" t="s">
        <v>47</v>
      </c>
      <c r="E26" t="s">
        <v>13</v>
      </c>
      <c r="F26" t="s">
        <v>68</v>
      </c>
      <c r="G26" t="s">
        <v>69</v>
      </c>
      <c r="H26" t="s">
        <v>67</v>
      </c>
      <c r="I26" t="s">
        <v>106</v>
      </c>
      <c r="J26" t="s">
        <v>52</v>
      </c>
      <c r="K26" t="s">
        <v>53</v>
      </c>
      <c r="L26" t="s">
        <v>109</v>
      </c>
    </row>
    <row r="27" spans="1:12" x14ac:dyDescent="0.25">
      <c r="A27" t="s">
        <v>98</v>
      </c>
      <c r="B27" t="s">
        <v>40</v>
      </c>
      <c r="C27" s="4" t="s">
        <v>48</v>
      </c>
      <c r="D27" t="s">
        <v>47</v>
      </c>
      <c r="E27" t="s">
        <v>13</v>
      </c>
      <c r="F27" t="s">
        <v>72</v>
      </c>
      <c r="G27" t="s">
        <v>57</v>
      </c>
      <c r="H27" t="s">
        <v>58</v>
      </c>
      <c r="I27" t="s">
        <v>105</v>
      </c>
      <c r="J27" t="s">
        <v>52</v>
      </c>
      <c r="K27" t="s">
        <v>53</v>
      </c>
      <c r="L27" t="s">
        <v>109</v>
      </c>
    </row>
    <row r="28" spans="1:12" x14ac:dyDescent="0.25">
      <c r="A28" t="s">
        <v>99</v>
      </c>
      <c r="B28" t="s">
        <v>41</v>
      </c>
      <c r="C28" s="4" t="s">
        <v>48</v>
      </c>
      <c r="D28" t="s">
        <v>47</v>
      </c>
      <c r="E28" t="s">
        <v>13</v>
      </c>
      <c r="F28" t="s">
        <v>68</v>
      </c>
      <c r="G28" t="s">
        <v>69</v>
      </c>
      <c r="H28" t="s">
        <v>67</v>
      </c>
      <c r="I28" t="s">
        <v>106</v>
      </c>
      <c r="J28" t="s">
        <v>52</v>
      </c>
      <c r="K28" t="s">
        <v>53</v>
      </c>
      <c r="L28" t="s">
        <v>109</v>
      </c>
    </row>
    <row r="29" spans="1:12" x14ac:dyDescent="0.25">
      <c r="A29" t="s">
        <v>100</v>
      </c>
      <c r="B29" t="s">
        <v>42</v>
      </c>
      <c r="C29" s="4" t="s">
        <v>48</v>
      </c>
      <c r="D29" t="s">
        <v>47</v>
      </c>
      <c r="E29" t="s">
        <v>13</v>
      </c>
      <c r="F29" t="s">
        <v>72</v>
      </c>
      <c r="G29" t="s">
        <v>57</v>
      </c>
      <c r="H29" t="s">
        <v>58</v>
      </c>
      <c r="I29" t="s">
        <v>105</v>
      </c>
      <c r="J29" t="s">
        <v>52</v>
      </c>
      <c r="K29" t="s">
        <v>53</v>
      </c>
      <c r="L29" t="s">
        <v>109</v>
      </c>
    </row>
    <row r="30" spans="1:12" x14ac:dyDescent="0.25">
      <c r="A30" t="s">
        <v>101</v>
      </c>
      <c r="B30" t="s">
        <v>43</v>
      </c>
      <c r="C30" s="4" t="s">
        <v>48</v>
      </c>
      <c r="D30" t="s">
        <v>47</v>
      </c>
      <c r="E30" t="s">
        <v>13</v>
      </c>
      <c r="F30" t="s">
        <v>72</v>
      </c>
      <c r="G30" t="s">
        <v>57</v>
      </c>
      <c r="H30" t="s">
        <v>58</v>
      </c>
      <c r="I30" t="s">
        <v>105</v>
      </c>
      <c r="J30" t="s">
        <v>52</v>
      </c>
      <c r="K30" t="s">
        <v>53</v>
      </c>
      <c r="L30" t="s">
        <v>109</v>
      </c>
    </row>
    <row r="31" spans="1:12" x14ac:dyDescent="0.25">
      <c r="A31" t="s">
        <v>102</v>
      </c>
      <c r="B31" t="s">
        <v>44</v>
      </c>
      <c r="C31" s="4" t="s">
        <v>48</v>
      </c>
      <c r="D31" t="s">
        <v>47</v>
      </c>
      <c r="E31" t="s">
        <v>13</v>
      </c>
      <c r="F31" t="s">
        <v>72</v>
      </c>
      <c r="G31" t="s">
        <v>57</v>
      </c>
      <c r="H31" t="s">
        <v>58</v>
      </c>
      <c r="I31" t="s">
        <v>105</v>
      </c>
      <c r="J31" t="s">
        <v>52</v>
      </c>
      <c r="K31" t="s">
        <v>53</v>
      </c>
      <c r="L31" t="s">
        <v>109</v>
      </c>
    </row>
    <row r="32" spans="1:12" x14ac:dyDescent="0.25">
      <c r="A32" t="s">
        <v>103</v>
      </c>
      <c r="B32" t="s">
        <v>45</v>
      </c>
      <c r="C32" s="4" t="s">
        <v>48</v>
      </c>
      <c r="D32" t="s">
        <v>47</v>
      </c>
      <c r="E32" t="s">
        <v>13</v>
      </c>
      <c r="F32" t="s">
        <v>72</v>
      </c>
      <c r="G32" t="s">
        <v>57</v>
      </c>
      <c r="H32" t="s">
        <v>58</v>
      </c>
      <c r="I32" t="s">
        <v>105</v>
      </c>
      <c r="J32" t="s">
        <v>52</v>
      </c>
      <c r="K32" t="s">
        <v>53</v>
      </c>
      <c r="L32" t="s">
        <v>109</v>
      </c>
    </row>
    <row r="33" spans="1:12" x14ac:dyDescent="0.25">
      <c r="A33" t="s">
        <v>104</v>
      </c>
      <c r="B33" t="s">
        <v>46</v>
      </c>
      <c r="C33" s="4" t="s">
        <v>48</v>
      </c>
      <c r="D33" t="s">
        <v>47</v>
      </c>
      <c r="E33" t="s">
        <v>13</v>
      </c>
      <c r="F33" t="s">
        <v>72</v>
      </c>
      <c r="G33" t="s">
        <v>65</v>
      </c>
      <c r="H33" t="s">
        <v>58</v>
      </c>
      <c r="I33" t="s">
        <v>105</v>
      </c>
      <c r="J33" t="s">
        <v>59</v>
      </c>
      <c r="K33" t="s">
        <v>53</v>
      </c>
      <c r="L33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FDED1-B4C8-4996-874A-3E70FC6A0905}">
  <dimension ref="A1:L12"/>
  <sheetViews>
    <sheetView workbookViewId="0">
      <selection activeCell="F3" sqref="F3:K3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168</v>
      </c>
      <c r="B2" t="s">
        <v>160</v>
      </c>
      <c r="C2" s="4" t="s">
        <v>48</v>
      </c>
      <c r="D2" t="s">
        <v>47</v>
      </c>
      <c r="E2" t="s">
        <v>13</v>
      </c>
      <c r="F2" t="s">
        <v>111</v>
      </c>
      <c r="G2" t="s">
        <v>115</v>
      </c>
      <c r="H2" t="s">
        <v>162</v>
      </c>
      <c r="I2" t="s">
        <v>55</v>
      </c>
      <c r="J2" t="s">
        <v>59</v>
      </c>
      <c r="K2" t="s">
        <v>53</v>
      </c>
      <c r="L2" t="s">
        <v>108</v>
      </c>
    </row>
    <row r="3" spans="1:12" x14ac:dyDescent="0.25">
      <c r="A3" t="s">
        <v>169</v>
      </c>
      <c r="B3" t="s">
        <v>161</v>
      </c>
      <c r="C3" s="4" t="s">
        <v>48</v>
      </c>
      <c r="D3" t="s">
        <v>47</v>
      </c>
      <c r="E3" t="s">
        <v>13</v>
      </c>
      <c r="F3" t="s">
        <v>60</v>
      </c>
      <c r="G3" t="s">
        <v>120</v>
      </c>
      <c r="H3" t="s">
        <v>163</v>
      </c>
      <c r="I3" t="s">
        <v>55</v>
      </c>
      <c r="J3" t="s">
        <v>59</v>
      </c>
      <c r="K3" t="s">
        <v>53</v>
      </c>
      <c r="L3" t="s">
        <v>108</v>
      </c>
    </row>
    <row r="4" spans="1:12" x14ac:dyDescent="0.25">
      <c r="A4" t="s">
        <v>164</v>
      </c>
      <c r="B4" t="s">
        <v>156</v>
      </c>
      <c r="C4" s="4" t="s">
        <v>48</v>
      </c>
      <c r="D4" t="s">
        <v>47</v>
      </c>
      <c r="E4" t="s">
        <v>13</v>
      </c>
      <c r="F4" t="s">
        <v>111</v>
      </c>
      <c r="G4" t="s">
        <v>115</v>
      </c>
      <c r="H4" t="s">
        <v>162</v>
      </c>
      <c r="I4" t="s">
        <v>55</v>
      </c>
      <c r="J4" t="s">
        <v>59</v>
      </c>
      <c r="K4" t="s">
        <v>53</v>
      </c>
      <c r="L4" t="s">
        <v>108</v>
      </c>
    </row>
    <row r="5" spans="1:12" x14ac:dyDescent="0.25">
      <c r="A5" t="s">
        <v>165</v>
      </c>
      <c r="B5" t="s">
        <v>157</v>
      </c>
      <c r="C5" s="4" t="s">
        <v>48</v>
      </c>
      <c r="D5" t="s">
        <v>47</v>
      </c>
      <c r="E5" t="s">
        <v>13</v>
      </c>
      <c r="F5" t="s">
        <v>111</v>
      </c>
      <c r="G5" t="s">
        <v>115</v>
      </c>
      <c r="H5" t="s">
        <v>162</v>
      </c>
      <c r="I5" t="s">
        <v>55</v>
      </c>
      <c r="J5" t="s">
        <v>59</v>
      </c>
      <c r="K5" t="s">
        <v>53</v>
      </c>
      <c r="L5" t="s">
        <v>108</v>
      </c>
    </row>
    <row r="6" spans="1:12" x14ac:dyDescent="0.25">
      <c r="A6" t="s">
        <v>166</v>
      </c>
      <c r="B6" t="s">
        <v>158</v>
      </c>
      <c r="C6" s="4" t="s">
        <v>48</v>
      </c>
      <c r="D6" t="s">
        <v>47</v>
      </c>
      <c r="E6" t="s">
        <v>13</v>
      </c>
      <c r="F6" t="s">
        <v>111</v>
      </c>
      <c r="G6" t="s">
        <v>115</v>
      </c>
      <c r="H6" t="s">
        <v>162</v>
      </c>
      <c r="I6" t="s">
        <v>55</v>
      </c>
      <c r="J6" t="s">
        <v>59</v>
      </c>
      <c r="K6" t="s">
        <v>53</v>
      </c>
      <c r="L6" t="s">
        <v>108</v>
      </c>
    </row>
    <row r="7" spans="1:12" x14ac:dyDescent="0.25">
      <c r="A7" t="s">
        <v>167</v>
      </c>
      <c r="B7" t="s">
        <v>159</v>
      </c>
      <c r="C7" s="4" t="s">
        <v>48</v>
      </c>
      <c r="D7" t="s">
        <v>47</v>
      </c>
      <c r="E7" t="s">
        <v>13</v>
      </c>
      <c r="F7" t="s">
        <v>111</v>
      </c>
      <c r="G7" t="s">
        <v>115</v>
      </c>
      <c r="H7" t="s">
        <v>162</v>
      </c>
      <c r="I7" t="s">
        <v>55</v>
      </c>
      <c r="J7" t="s">
        <v>59</v>
      </c>
      <c r="K7" t="s">
        <v>53</v>
      </c>
      <c r="L7" t="s">
        <v>108</v>
      </c>
    </row>
    <row r="8" spans="1:12" x14ac:dyDescent="0.25">
      <c r="C8" s="4"/>
    </row>
    <row r="9" spans="1:12" x14ac:dyDescent="0.25">
      <c r="C9" s="4"/>
    </row>
    <row r="10" spans="1:12" x14ac:dyDescent="0.25">
      <c r="C10" s="4"/>
    </row>
    <row r="11" spans="1:12" x14ac:dyDescent="0.25">
      <c r="C11" s="4"/>
    </row>
    <row r="12" spans="1:12" x14ac:dyDescent="0.25">
      <c r="C12" s="4"/>
    </row>
  </sheetData>
  <autoFilter ref="A1:L7" xr:uid="{4F6FDED1-B4C8-4996-874A-3E70FC6A0905}"/>
  <sortState xmlns:xlrd2="http://schemas.microsoft.com/office/spreadsheetml/2017/richdata2" ref="A2:L19">
    <sortCondition ref="A2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References</vt:lpstr>
      <vt:lpstr>custom</vt:lpstr>
      <vt:lpstr>Bench06</vt:lpstr>
      <vt:lpstr>Bench10</vt:lpstr>
      <vt:lpstr>Human_Error</vt:lpstr>
      <vt:lpstr>ICB_Issue_Always</vt:lpstr>
      <vt:lpstr>ICB_Issue_Once</vt:lpstr>
      <vt:lpstr>KITE_Issue</vt:lpstr>
      <vt:lpstr>Test_Env_Issue</vt:lpstr>
      <vt:lpstr>TS_Issue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2026-03-19T15:53:52Z</dcterms:modified>
</cp:coreProperties>
</file>