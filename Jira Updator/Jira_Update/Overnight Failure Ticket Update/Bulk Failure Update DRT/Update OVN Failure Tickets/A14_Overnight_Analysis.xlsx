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Overnight Failure Ticket Update\Bulk Failure Update DRT\Update OVN Failure Tickets\"/>
    </mc:Choice>
  </mc:AlternateContent>
  <xr:revisionPtr revIDLastSave="0" documentId="13_ncr:1_{A56D455D-8AAA-44C5-9940-606A5A7F558D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References" sheetId="3" r:id="rId1"/>
    <sheet name="custom" sheetId="12" r:id="rId2"/>
    <sheet name="Bench10" sheetId="2" r:id="rId3"/>
    <sheet name="Bench10_A15_23_03_2026" sheetId="16" r:id="rId4"/>
    <sheet name="Bench10_A15_26_03_2026" sheetId="17" r:id="rId5"/>
    <sheet name="Sheet2" sheetId="18" r:id="rId6"/>
    <sheet name="Sheet3" sheetId="19" r:id="rId7"/>
    <sheet name="Sheet4" sheetId="20" r:id="rId8"/>
  </sheets>
  <definedNames>
    <definedName name="_xlnm._FilterDatabase" localSheetId="2" hidden="1">Bench10!$A$1:$L$9</definedName>
    <definedName name="_xlnm._FilterDatabase" localSheetId="3" hidden="1">Bench10_A15_23_03_2026!$A$1:$M$8</definedName>
    <definedName name="_xlnm._FilterDatabase" localSheetId="4" hidden="1">Bench10_A15_26_03_2026!$A$1:$N$21</definedName>
    <definedName name="_xlnm._FilterDatabase" localSheetId="5" hidden="1">Sheet2!$A$1:$M$11</definedName>
    <definedName name="_xlnm._FilterDatabase" localSheetId="7" hidden="1">Sheet4!$A$1:$M$9</definedName>
    <definedName name="Human_Error" comment="Human_Error">References!$F$2:$F$14</definedName>
    <definedName name="ICB_Issue_Always" comment="ICB_Issue_Always">References!$D$2:$D$14</definedName>
    <definedName name="ICB_Issue_Once" comment="ICB_Issue_Once">References!$C$2:$C$14</definedName>
    <definedName name="KITE_Issue" comment="KITE_Issue">References!$A$2:$A$14</definedName>
    <definedName name="Test_Env_Issue" comment="Test_Env_Issue">References!$B$2:$B$14</definedName>
    <definedName name="TS_Issue" comment="TS_Issue">References!$E$2:$E$14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2" l="1"/>
  <c r="A5" i="12"/>
</calcChain>
</file>

<file path=xl/sharedStrings.xml><?xml version="1.0" encoding="utf-8"?>
<sst xmlns="http://schemas.openxmlformats.org/spreadsheetml/2006/main" count="832" uniqueCount="194">
  <si>
    <t>Jira ID</t>
  </si>
  <si>
    <t>Test Script ID</t>
  </si>
  <si>
    <t>Date</t>
  </si>
  <si>
    <t>Build Number</t>
  </si>
  <si>
    <t>Result</t>
  </si>
  <si>
    <t>Failure Category</t>
  </si>
  <si>
    <t>Failure Sub Category</t>
  </si>
  <si>
    <t>Root Cause Details</t>
  </si>
  <si>
    <t>Fixation Performed</t>
  </si>
  <si>
    <t>Remarks</t>
  </si>
  <si>
    <t>Reviewer</t>
  </si>
  <si>
    <t>Fixation</t>
  </si>
  <si>
    <t>Build</t>
  </si>
  <si>
    <t>Fail</t>
  </si>
  <si>
    <t>-</t>
  </si>
  <si>
    <t>AFA1504D0.260317.1</t>
  </si>
  <si>
    <t>2026-03-17</t>
  </si>
  <si>
    <t>Test Env Issue</t>
  </si>
  <si>
    <t>Automation Setup Malfunction</t>
  </si>
  <si>
    <t>Rajashri</t>
  </si>
  <si>
    <t>NA</t>
  </si>
  <si>
    <t>TS Issue</t>
  </si>
  <si>
    <t>Other TS Failed</t>
  </si>
  <si>
    <t>Executed manually in daytime, result: Pass.</t>
  </si>
  <si>
    <t>ICB Issue (Once)</t>
  </si>
  <si>
    <t>Once Seen</t>
  </si>
  <si>
    <t>FB Modification Required</t>
  </si>
  <si>
    <t>Test Env issue</t>
  </si>
  <si>
    <t>Automation Setup malfunction</t>
  </si>
  <si>
    <t>Not Fixed</t>
  </si>
  <si>
    <t>Fixed</t>
  </si>
  <si>
    <t>KITE Issue</t>
  </si>
  <si>
    <t>ICB Issue (Always)</t>
  </si>
  <si>
    <t>Human Error</t>
  </si>
  <si>
    <t>SRL/CR Changes</t>
  </si>
  <si>
    <t>CAN Signal Issue</t>
  </si>
  <si>
    <t>Valid Issue</t>
  </si>
  <si>
    <t xml:space="preserve">SRL Change </t>
  </si>
  <si>
    <t>Image Comparison</t>
  </si>
  <si>
    <t>External Hardware Setup Malfunction</t>
  </si>
  <si>
    <t>GAS Implementation</t>
  </si>
  <si>
    <t>Timing Issue</t>
  </si>
  <si>
    <t> </t>
  </si>
  <si>
    <t>Audio Comparision</t>
  </si>
  <si>
    <t>External Application Issue</t>
  </si>
  <si>
    <t>UI Changed</t>
  </si>
  <si>
    <t>TS Modification Required</t>
  </si>
  <si>
    <t>CR Change</t>
  </si>
  <si>
    <t>Video Comparision</t>
  </si>
  <si>
    <t>Network Issue</t>
  </si>
  <si>
    <t>Robot Touch Operation</t>
  </si>
  <si>
    <t>Device Mapping Issue</t>
  </si>
  <si>
    <t>Hardware Blocker</t>
  </si>
  <si>
    <t>KITE Application Issue</t>
  </si>
  <si>
    <t xml:space="preserve"> KITE issue </t>
  </si>
  <si>
    <t xml:space="preserve"> Human error </t>
  </si>
  <si>
    <t xml:space="preserve"> ICB issue </t>
  </si>
  <si>
    <t xml:space="preserve"> CAN signal issue </t>
  </si>
  <si>
    <t xml:space="preserve"> Image comparison </t>
  </si>
  <si>
    <t xml:space="preserve"> Audio comparison </t>
  </si>
  <si>
    <t xml:space="preserve"> Video comparison </t>
  </si>
  <si>
    <t xml:space="preserve"> Robot operation </t>
  </si>
  <si>
    <t xml:space="preserve"> Device Mapping issue </t>
  </si>
  <si>
    <t xml:space="preserve"> KITE Application issue </t>
  </si>
  <si>
    <t xml:space="preserve"> TS logic incorrect </t>
  </si>
  <si>
    <t xml:space="preserve"> GAS implementation </t>
  </si>
  <si>
    <t xml:space="preserve"> Timing issue </t>
  </si>
  <si>
    <t xml:space="preserve"> SRL/CR changes </t>
  </si>
  <si>
    <t xml:space="preserve"> External HW </t>
  </si>
  <si>
    <t xml:space="preserve"> External Application issue </t>
  </si>
  <si>
    <t xml:space="preserve"> Cascading Issue </t>
  </si>
  <si>
    <t>KPIT_TC_DRT_IVI_039</t>
  </si>
  <si>
    <t>DRT-5201</t>
  </si>
  <si>
    <t>2026-03-19</t>
  </si>
  <si>
    <t>AEA1415R1.260319.1</t>
  </si>
  <si>
    <t>"Connect the device" popup displayed untimely on ICB.</t>
  </si>
  <si>
    <t>KPIT_TC_DRT_VEND_006</t>
  </si>
  <si>
    <t>KPIT_TC_DRT_VEND_115</t>
  </si>
  <si>
    <t>A-Zone black screen post connecting Phone1 as wireless android auto.</t>
  </si>
  <si>
    <t>Restarted Phone and updated android auto application on Phone1.</t>
  </si>
  <si>
    <t>KPIT_TC_DRT_SPCAA_074</t>
  </si>
  <si>
    <t>KPIT_TC_DRT_SPCAA_075</t>
  </si>
  <si>
    <t>KPIT_TC_DRT_HFT_020</t>
  </si>
  <si>
    <t>Executed in daytime, result: Pass.</t>
  </si>
  <si>
    <t>Timing issue</t>
  </si>
  <si>
    <t>TS issue</t>
  </si>
  <si>
    <t>KPIT_TC_DRT_IPD_047</t>
  </si>
  <si>
    <t>KPIT_TC_DRT_LMG_009</t>
  </si>
  <si>
    <t>Even if iPod is connected, Current Playlist is not operable on Music Library Screen. After ending last song in current playlist screen. Hence further operations failed.</t>
  </si>
  <si>
    <t>Restarted iPod device.</t>
  </si>
  <si>
    <t>After disconnecting wired android auto phone, phone got connected as BT device, Hence validation of link manager disconnected status failed.</t>
  </si>
  <si>
    <t>Took more time to load NotificationPopup wording edit input box on Phone2, while sending one line vendor extension notification. Hence further operations failed.</t>
  </si>
  <si>
    <t>VE application not got connected with errror code 32 &amp; 31, while Phone1 is connected as wireless android auto. Hence further operations failed.</t>
  </si>
  <si>
    <t>Restarted Phone2 and performed FDR on ICB.</t>
  </si>
  <si>
    <t>Audio validation failed, As recorded audio is different from expected audio for beep validation.</t>
  </si>
  <si>
    <t>Handled the different Beep Audio length files in IF ELSE_IF condition.</t>
  </si>
  <si>
    <t>Executed in daytime, result: Pass.
Unable to attach reports because reports were not generated due to Kite Bug: #3071142: KITE execution is getting stuck on RETURN_FUNCTION_BLOCK_PASS or RETURN_FUNCTION_BLOCK_FAIL.</t>
  </si>
  <si>
    <t>Incoming call not received on ICB while Phone1 is connected via BT. Hence further operations failed.</t>
  </si>
  <si>
    <t>Restarted Phone1.</t>
  </si>
  <si>
    <t>AFA1503R0.260323.1</t>
  </si>
  <si>
    <t>2026-03-23</t>
  </si>
  <si>
    <t>A15-3571</t>
  </si>
  <si>
    <t>A15-3570</t>
  </si>
  <si>
    <t>A15-3682</t>
  </si>
  <si>
    <t>A15-3572</t>
  </si>
  <si>
    <t>A15-3687</t>
  </si>
  <si>
    <t>A15-3688</t>
  </si>
  <si>
    <t>A15-3689</t>
  </si>
  <si>
    <t>Reports</t>
  </si>
  <si>
    <t>Available</t>
  </si>
  <si>
    <t>Not Available</t>
  </si>
  <si>
    <t>KPIT_TC_DRT_IVI_038</t>
  </si>
  <si>
    <t>KPIT_TC_DRT_BT_002</t>
  </si>
  <si>
    <t>KPIT_TC_DRT_BT_033</t>
  </si>
  <si>
    <t>KPIT_TC_DRT_VEND_092</t>
  </si>
  <si>
    <t>KPIT_TC_FNC_VEND_0063_0001</t>
  </si>
  <si>
    <t>KPIT_TC_DRT_VEND_114</t>
  </si>
  <si>
    <t>KPIT_TC_DRT_BZA_005</t>
  </si>
  <si>
    <t>KPIT_TC_DRT_BZA_015</t>
  </si>
  <si>
    <t>KPIT_TC_DRT_VEND_113</t>
  </si>
  <si>
    <t>KPIT_TC_DRT_INL_006</t>
  </si>
  <si>
    <t>KPIT_TC_DRT_BTA_052</t>
  </si>
  <si>
    <t>KPIT_TC_DRT_BT_010</t>
  </si>
  <si>
    <t>ICB didn't transited to home screen, after selecting Home button twice.
Defect is already raised, Defect: https://jira.honda-ivi.com/browse/PJ05DEF00-785</t>
  </si>
  <si>
    <t>VE application not got connected with error code 32 &amp; 31, while Phone2 is connected as wireless android auto. Hence further operations failed.</t>
  </si>
  <si>
    <t>While unpairing devices from Phone5 scanning popup displayed for longer duration, Hence further operations failed.</t>
  </si>
  <si>
    <t>VE application not got connected with error code 32 &amp; 31, while Phone8 is connected as wireless android auto. Hence further operations failed.</t>
  </si>
  <si>
    <t>Restarted Phone8 and performed FDR on ICB.</t>
  </si>
  <si>
    <t>Audio validation failed, As recorded audio is blank.</t>
  </si>
  <si>
    <t>After Switching to Guest profile, Setup wizard popup displayed in full screen mode, Hence further operation failed.</t>
  </si>
  <si>
    <t>Replaced FB "Select More if Google Service Screen Displayed" with Select More If Google Service Screen Displayed"</t>
  </si>
  <si>
    <t>AFA1503R0.260326.1</t>
  </si>
  <si>
    <t>2026-03-26</t>
  </si>
  <si>
    <t>A15-3726</t>
  </si>
  <si>
    <t>A15-3727</t>
  </si>
  <si>
    <t>A15-3730</t>
  </si>
  <si>
    <t>A15-3731</t>
  </si>
  <si>
    <t>A15-3732</t>
  </si>
  <si>
    <t>A15-3733</t>
  </si>
  <si>
    <t>A15-3723</t>
  </si>
  <si>
    <t>A15-3728</t>
  </si>
  <si>
    <t>A15-3729</t>
  </si>
  <si>
    <t>A15-3734</t>
  </si>
  <si>
    <t>A15-3735</t>
  </si>
  <si>
    <t>A15-3724</t>
  </si>
  <si>
    <t>A15-3725</t>
  </si>
  <si>
    <t>Once seen</t>
  </si>
  <si>
    <t>Always</t>
  </si>
  <si>
    <t>Pass</t>
  </si>
  <si>
    <t>Executed in daytime, result: Pass.
Attached daytime reports: https://kpitc-my.sharepoint.com/:b:/g/personal/chandrakanb_kpit_com/IQANpxh_90lvQK0npX3sbodzATynWibww6N6dveIeTn15YE?e=WgQa6i.</t>
  </si>
  <si>
    <t>Done</t>
  </si>
  <si>
    <t>Executed in daytime, result: Pass.
Attached daytime execution reports: https://kpitc-my.sharepoint.com/:b:/g/personal/chandrakanb_kpit_com/IQBjg7WxUgfCSoFjUSCAVSwTAaWER66nP2FWpBdGrBpv0Vs?e=J30DpF.</t>
  </si>
  <si>
    <t>Executed in daytime, result: Pass.
Attached daytime execution reports: https://kpitc-my.sharepoint.com/:b:/g/personal/chandrakanb_kpit_com/IQBbZWBqEXjZRJ-aMFzEZ54zAVl6blre9i-KKfTNSc59AfM?e=QvtjPI.</t>
  </si>
  <si>
    <t>Executed in daytime, result: Pass.
Attached daytime execution reports: https://kpitc-my.sharepoint.com/:b:/g/personal/chandrakanb_kpit_com/IQD8bGEqkOZrRoa_ZVKjfgH4AWjAug0LLiq4POK0oV0reNg?e=ClBCGH.</t>
  </si>
  <si>
    <t>Executed in daytime, result: Pass.
Attached daytime execution reports: https://kpitc-my.sharepoint.com/:b:/g/personal/chandrakanb_kpit_com/IQAFCieNjjlpQICnUTil79RnAQpVrCTSY8xW_F3yy3wztoA?e=IhWTEq.</t>
  </si>
  <si>
    <t>Executed in daytime, result: Pass.
Attached daytime execution reports: https://kpitc-my.sharepoint.com/:b:/g/personal/chandrakanb_kpit_com/IQD0-fjxHtXsTaNSXUMMlvBLASBLwMCO_WDkSzSykXQBYf0?e=K6dcd5.</t>
  </si>
  <si>
    <t>Executed in daytime, result: Pass.
Attached daytime execution reports: https://kpitc-my.sharepoint.com/:b:/g/personal/chandrakanb_kpit_com/IQC7TE_J3QyLQKfBn1rTAA56ASvJqjQeC-fjbR-fN-8INaA?e=EPaAS1.</t>
  </si>
  <si>
    <t>Executed in daytime, result: Pass.
Attached daytime execution reports: https://kpitc-my.sharepoint.com/:b:/g/personal/chandrakanb_kpit_com/IQAbzlDO8dGyTY83-_GYBw1vAbftDeiSTPqEQO7xsSaIZwo?e=x8080N.</t>
  </si>
  <si>
    <t>Executed in daytime, result: Pass.
Attached daytime execution reports: https://kpitc-my.sharepoint.com/:b:/g/personal/chandrakanb_kpit_com/IQCOF7nAd3KXQIplJuaCtOLDAaZx4D571E6rc3NnEC5T-Sw?e=M0xdAy.</t>
  </si>
  <si>
    <t>Executed in daytime, result: Pass.
Attached daytime execution reports: https://kpitc-my.sharepoint.com/:b:/g/personal/chandrakanb_kpit_com/IQDxDvH_1aMbSqZl-35xc6ZZAZKY6gvtUPUogwOL7SETBtI?e=kQCUxJ.</t>
  </si>
  <si>
    <t>Executed in daytime, result: Pass.
Attached daytime execution reports: https://kpitc-my.sharepoint.com/:b:/g/personal/chandrakanb_kpit_com/IQBgGHbLGG6MRYIxfGAMmQsuAS5Z8iwatc36eReZNZ7prVE?e=so2P7m.</t>
  </si>
  <si>
    <t>KPIT_TC_DRT_USB_140</t>
  </si>
  <si>
    <t>KPIT_TC_DRT_VEH_051</t>
  </si>
  <si>
    <t>KPIT_TC_DRT_VEH_061</t>
  </si>
  <si>
    <t>KPIT_TC_DRT_USB_073</t>
  </si>
  <si>
    <t>KPIT_TC_DRT_AMFM_017</t>
  </si>
  <si>
    <t>KPIT_TC_DRT_SPCCP_097</t>
  </si>
  <si>
    <t>KPIT_TC_DRT_KEY_022</t>
  </si>
  <si>
    <t>KPIT_TC_DRT_MCS_012</t>
  </si>
  <si>
    <t>Validation of "Black Level Value on USB Video Image Settings is Set to 0" Failed due to color difference.</t>
  </si>
  <si>
    <t>Replaced the image "Image_Settings_Video_R_Variant.png".</t>
  </si>
  <si>
    <t>Vehicle Settings List view is displayed when the App is re-launched from Home screen after changing view as Button.
Defect is already raised, Defect : https://jira.honda-ivi.com/browse/PJ05DEF00-576.</t>
  </si>
  <si>
    <t>Robot did not performed swipe as expected, this might be robot touch depth and/or park height issue</t>
  </si>
  <si>
    <t>Validation for B Zone is displayed is failed due to position difference.</t>
  </si>
  <si>
    <t>Replaced FB "Validate MCS, A Zone and B Zone are Displayed on Home Screen Page1" with "Validate MCS, A Zone and B Zone are Displayed on Home Screen Page1_R_Variant".</t>
  </si>
  <si>
    <t>CarPlay Active Call Screen validation failed due to color difference.</t>
  </si>
  <si>
    <t>Replaced FB "Validate CarPlay Active Call Screen_R_Variant" with "Validate CarPlay Active Call Screen".</t>
  </si>
  <si>
    <t>Audio validation failed for MUSIC1_Folder1 because the next song started while the expected song was already playing on ICB, causing the current song to end.</t>
  </si>
  <si>
    <t>Added FB "Select Song Starting Position on Progress Bar" after selecting song from music library.</t>
  </si>
  <si>
    <t>Robot performed fast swipe operation, this might be robot touch depth and/or park height issue</t>
  </si>
  <si>
    <t>Executed in daytime, result: Pass.
Attached daytime execution reports: https://kpitc-my.sharepoint.com/:b:/g/personal/chandrakanb_kpit_com/IQAZeZDtCGGCS4nZp5M6nSy5AYSEq7PQP-FJFosVeI9X8As?e=Ss9T6q.</t>
  </si>
  <si>
    <t>Executed in daytime, result: Pass.
Attached daytime execution reports: https://kpitc-my.sharepoint.com/:b:/g/personal/chandrakanb_kpit_com/IQDFsK1Wzx7FSpbVxGHwcu4QASboYAZBGG21dd6GtG2pDJM?e=yle2Qj.</t>
  </si>
  <si>
    <t>Executed in daytime, result: Pass.
Attached daytime execution reports: https://kpitc-my.sharepoint.com/:b:/g/personal/chandrakanb_kpit_com/IQDlMwJXEyN7Tozm71mEdlzzAakmGQDqWQSYxV4zIfOyP_g?e=9bEFB3.</t>
  </si>
  <si>
    <t>Executed in daytime, result: Pass.
Attached daytime execution reports: https://kpitc-my.sharepoint.com/:b:/g/personal/chandrakanb_kpit_com/IQAIKZm5eJXQSLNGrDVBcoVfAeevupp8gpfu9HDz2OzRgHc?e=g37Juu.</t>
  </si>
  <si>
    <t>Executed in daytime, result: Pass.
Attached daytime execution reports: https://kpitc-my.sharepoint.com/:b:/g/personal/chandrakanb_kpit_com/IQD9r56NOQHKR6IkpmFevA46AVt1eA4EvuhYDvPTtei795M?e=bdCeKQ.</t>
  </si>
  <si>
    <t>Executed in daytime, result: Pass.
Attached daytime execution reports: https://kpitc-my.sharepoint.com/:b:/g/personal/chandrakanb_kpit_com/IQCgSPpgGkXZRJuyYhkpjku0AVQysPSbNk7M3tu9Di1GKO4?e=F0EqRU.</t>
  </si>
  <si>
    <t>A15-3718</t>
  </si>
  <si>
    <t>A15-3722</t>
  </si>
  <si>
    <t>A15-3721</t>
  </si>
  <si>
    <t>A15-3715</t>
  </si>
  <si>
    <t>A15-3720</t>
  </si>
  <si>
    <t>A15-3717</t>
  </si>
  <si>
    <t>A15-3719</t>
  </si>
  <si>
    <t>A15-3716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</si>
</sst>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theme="1" tint="0.499984740745262"/>
      <name val="Aptos Narrow"/>
      <family val="2"/>
    </font>
    <font>
      <sz val="11"/>
      <color rgb="FF000000"/>
      <name val="Aptos Narrow"/>
      <family val="2"/>
    </font>
    <font>
      <sz val="11"/>
      <color theme="1" tint="0.499984740745262"/>
      <name val="Aptos Narrow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49" fontId="0" fillId="0" borderId="0" xfId="0" applyNumberFormat="1"/>
    <xf numFmtId="0" fontId="2" fillId="0" borderId="4" xfId="0" applyFont="1" applyBorder="1"/>
    <xf numFmtId="0" fontId="2" fillId="0" borderId="5" xfId="0" applyFont="1" applyBorder="1"/>
    <xf numFmtId="0" fontId="3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5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9" xfId="0" applyFont="1" applyBorder="1"/>
    <xf numFmtId="0" fontId="0" fillId="0" borderId="6" xfId="0" applyBorder="1"/>
    <xf numFmtId="0" fontId="1" fillId="0" borderId="4" xfId="0" applyFont="1" applyBorder="1"/>
    <xf numFmtId="0" fontId="0" fillId="0" borderId="4" xfId="0" applyBorder="1"/>
    <xf numFmtId="9" fontId="0" fillId="0" borderId="4" xfId="1" applyFont="1" applyBorder="1"/>
    <xf numFmtId="0" fontId="1" fillId="0" borderId="17" xfId="0" applyFont="1" applyBorder="1"/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EA03-59C9-4420-A67B-C5E83965EE00}">
  <dimension ref="A1:G23"/>
  <sheetViews>
    <sheetView workbookViewId="0">
      <selection activeCell="C19" sqref="C19"/>
    </sheetView>
  </sheetViews>
  <sheetFormatPr defaultColWidth="34.5703125" defaultRowHeight="15" x14ac:dyDescent="0.25"/>
  <cols>
    <col min="1" max="1" width="21.7109375" bestFit="1" customWidth="1"/>
    <col min="2" max="2" width="34.140625" bestFit="1" customWidth="1"/>
    <col min="3" max="3" width="23.28515625" bestFit="1" customWidth="1"/>
    <col min="4" max="4" width="17.7109375" bestFit="1" customWidth="1"/>
    <col min="5" max="5" width="23.42578125" bestFit="1" customWidth="1"/>
    <col min="6" max="6" width="12.28515625" bestFit="1" customWidth="1"/>
    <col min="7" max="7" width="16.28515625" bestFit="1" customWidth="1"/>
  </cols>
  <sheetData>
    <row r="1" spans="1:7" ht="15.75" thickBot="1" x14ac:dyDescent="0.3">
      <c r="A1" s="5" t="s">
        <v>31</v>
      </c>
      <c r="B1" s="6" t="s">
        <v>17</v>
      </c>
      <c r="C1" s="6" t="s">
        <v>24</v>
      </c>
      <c r="D1" s="6" t="s">
        <v>32</v>
      </c>
      <c r="E1" s="6" t="s">
        <v>21</v>
      </c>
      <c r="F1" s="6" t="s">
        <v>33</v>
      </c>
      <c r="G1" s="7" t="s">
        <v>34</v>
      </c>
    </row>
    <row r="2" spans="1:7" x14ac:dyDescent="0.25">
      <c r="A2" s="8" t="s">
        <v>35</v>
      </c>
      <c r="B2" s="9" t="s">
        <v>18</v>
      </c>
      <c r="C2" s="9" t="s">
        <v>25</v>
      </c>
      <c r="D2" s="9" t="s">
        <v>36</v>
      </c>
      <c r="E2" s="9" t="s">
        <v>22</v>
      </c>
      <c r="F2" s="10" t="s">
        <v>14</v>
      </c>
      <c r="G2" s="11" t="s">
        <v>37</v>
      </c>
    </row>
    <row r="3" spans="1:7" x14ac:dyDescent="0.25">
      <c r="A3" s="8" t="s">
        <v>38</v>
      </c>
      <c r="B3" s="9" t="s">
        <v>39</v>
      </c>
      <c r="C3" s="9" t="s">
        <v>40</v>
      </c>
      <c r="D3" s="9" t="s">
        <v>41</v>
      </c>
      <c r="E3" s="9" t="s">
        <v>26</v>
      </c>
      <c r="F3" s="9" t="s">
        <v>42</v>
      </c>
      <c r="G3" s="11" t="s">
        <v>41</v>
      </c>
    </row>
    <row r="4" spans="1:7" x14ac:dyDescent="0.25">
      <c r="A4" s="8" t="s">
        <v>43</v>
      </c>
      <c r="B4" s="9" t="s">
        <v>44</v>
      </c>
      <c r="C4" s="9" t="s">
        <v>41</v>
      </c>
      <c r="D4" s="11" t="s">
        <v>45</v>
      </c>
      <c r="E4" s="9" t="s">
        <v>46</v>
      </c>
      <c r="F4" s="9" t="s">
        <v>42</v>
      </c>
      <c r="G4" s="11" t="s">
        <v>47</v>
      </c>
    </row>
    <row r="5" spans="1:7" x14ac:dyDescent="0.25">
      <c r="A5" s="8" t="s">
        <v>48</v>
      </c>
      <c r="B5" s="9" t="s">
        <v>49</v>
      </c>
      <c r="C5" s="9" t="s">
        <v>22</v>
      </c>
      <c r="D5" s="9" t="s">
        <v>37</v>
      </c>
      <c r="E5" s="9" t="s">
        <v>42</v>
      </c>
      <c r="F5" s="9" t="s">
        <v>42</v>
      </c>
      <c r="G5" s="11" t="s">
        <v>42</v>
      </c>
    </row>
    <row r="6" spans="1:7" x14ac:dyDescent="0.25">
      <c r="A6" s="8" t="s">
        <v>50</v>
      </c>
      <c r="B6" s="9" t="s">
        <v>22</v>
      </c>
      <c r="C6" s="9" t="s">
        <v>42</v>
      </c>
      <c r="D6" s="9" t="s">
        <v>47</v>
      </c>
      <c r="E6" s="9" t="s">
        <v>42</v>
      </c>
      <c r="F6" s="9" t="s">
        <v>42</v>
      </c>
      <c r="G6" s="11" t="s">
        <v>42</v>
      </c>
    </row>
    <row r="7" spans="1:7" x14ac:dyDescent="0.25">
      <c r="A7" s="8" t="s">
        <v>51</v>
      </c>
      <c r="B7" s="9" t="s">
        <v>52</v>
      </c>
      <c r="C7" s="9" t="s">
        <v>42</v>
      </c>
      <c r="D7" s="9" t="s">
        <v>42</v>
      </c>
      <c r="E7" s="9" t="s">
        <v>42</v>
      </c>
      <c r="F7" s="9" t="s">
        <v>42</v>
      </c>
      <c r="G7" s="11" t="s">
        <v>42</v>
      </c>
    </row>
    <row r="8" spans="1:7" x14ac:dyDescent="0.25">
      <c r="A8" s="8" t="s">
        <v>53</v>
      </c>
      <c r="B8" s="9" t="s">
        <v>42</v>
      </c>
      <c r="C8" s="9" t="s">
        <v>42</v>
      </c>
      <c r="D8" s="9" t="s">
        <v>42</v>
      </c>
      <c r="E8" s="9" t="s">
        <v>42</v>
      </c>
      <c r="F8" s="9" t="s">
        <v>42</v>
      </c>
      <c r="G8" s="11" t="s">
        <v>42</v>
      </c>
    </row>
    <row r="9" spans="1:7" x14ac:dyDescent="0.25">
      <c r="A9" s="8" t="s">
        <v>42</v>
      </c>
      <c r="B9" s="9" t="s">
        <v>42</v>
      </c>
      <c r="C9" s="9" t="s">
        <v>42</v>
      </c>
      <c r="D9" s="9" t="s">
        <v>42</v>
      </c>
      <c r="E9" s="9" t="s">
        <v>42</v>
      </c>
      <c r="F9" s="9" t="s">
        <v>42</v>
      </c>
      <c r="G9" s="11" t="s">
        <v>42</v>
      </c>
    </row>
    <row r="10" spans="1:7" x14ac:dyDescent="0.25">
      <c r="A10" s="8"/>
      <c r="B10" s="9" t="s">
        <v>42</v>
      </c>
      <c r="C10" s="9" t="s">
        <v>42</v>
      </c>
      <c r="D10" s="9" t="s">
        <v>42</v>
      </c>
      <c r="E10" s="9" t="s">
        <v>42</v>
      </c>
      <c r="F10" s="9" t="s">
        <v>42</v>
      </c>
      <c r="G10" s="11" t="s">
        <v>42</v>
      </c>
    </row>
    <row r="11" spans="1:7" x14ac:dyDescent="0.25">
      <c r="A11" s="8" t="s">
        <v>42</v>
      </c>
      <c r="B11" s="9" t="s">
        <v>42</v>
      </c>
      <c r="C11" s="9" t="s">
        <v>42</v>
      </c>
      <c r="D11" s="9" t="s">
        <v>42</v>
      </c>
      <c r="E11" s="9" t="s">
        <v>42</v>
      </c>
      <c r="F11" s="9" t="s">
        <v>42</v>
      </c>
      <c r="G11" s="11" t="s">
        <v>42</v>
      </c>
    </row>
    <row r="12" spans="1:7" x14ac:dyDescent="0.25">
      <c r="A12" s="8" t="s">
        <v>42</v>
      </c>
      <c r="B12" s="9" t="s">
        <v>42</v>
      </c>
      <c r="C12" s="9" t="s">
        <v>42</v>
      </c>
      <c r="D12" s="9" t="s">
        <v>42</v>
      </c>
      <c r="E12" s="9" t="s">
        <v>42</v>
      </c>
      <c r="F12" s="9" t="s">
        <v>42</v>
      </c>
      <c r="G12" s="11" t="s">
        <v>42</v>
      </c>
    </row>
    <row r="13" spans="1:7" x14ac:dyDescent="0.25">
      <c r="A13" s="8" t="s">
        <v>42</v>
      </c>
      <c r="B13" s="9" t="s">
        <v>42</v>
      </c>
      <c r="C13" s="9" t="s">
        <v>42</v>
      </c>
      <c r="D13" s="9" t="s">
        <v>42</v>
      </c>
      <c r="E13" s="9" t="s">
        <v>42</v>
      </c>
      <c r="F13" s="9" t="s">
        <v>42</v>
      </c>
      <c r="G13" s="11" t="s">
        <v>42</v>
      </c>
    </row>
    <row r="14" spans="1:7" ht="15.75" thickBot="1" x14ac:dyDescent="0.3">
      <c r="A14" s="12" t="s">
        <v>42</v>
      </c>
      <c r="B14" s="13" t="s">
        <v>42</v>
      </c>
      <c r="C14" s="13" t="s">
        <v>42</v>
      </c>
      <c r="D14" s="13" t="s">
        <v>42</v>
      </c>
      <c r="E14" s="13" t="s">
        <v>42</v>
      </c>
      <c r="F14" s="13" t="s">
        <v>42</v>
      </c>
      <c r="G14" s="14" t="s">
        <v>42</v>
      </c>
    </row>
    <row r="15" spans="1:7" ht="15.75" thickBot="1" x14ac:dyDescent="0.3"/>
    <row r="16" spans="1:7" ht="15.75" thickBot="1" x14ac:dyDescent="0.3">
      <c r="A16" s="16" t="s">
        <v>54</v>
      </c>
      <c r="B16" s="16" t="s">
        <v>27</v>
      </c>
      <c r="C16" s="16" t="s">
        <v>56</v>
      </c>
      <c r="D16" s="16" t="s">
        <v>56</v>
      </c>
      <c r="E16" s="16" t="s">
        <v>85</v>
      </c>
      <c r="F16" s="16" t="s">
        <v>55</v>
      </c>
    </row>
    <row r="17" spans="1:6" x14ac:dyDescent="0.25">
      <c r="A17" s="15" t="s">
        <v>57</v>
      </c>
      <c r="B17" s="15" t="s">
        <v>28</v>
      </c>
      <c r="C17" s="15" t="s">
        <v>146</v>
      </c>
      <c r="D17" s="15" t="s">
        <v>147</v>
      </c>
      <c r="E17" s="15" t="s">
        <v>64</v>
      </c>
      <c r="F17" s="15" t="s">
        <v>14</v>
      </c>
    </row>
    <row r="18" spans="1:6" x14ac:dyDescent="0.25">
      <c r="A18" s="2" t="s">
        <v>58</v>
      </c>
      <c r="B18" s="2" t="s">
        <v>68</v>
      </c>
      <c r="C18" s="2" t="s">
        <v>65</v>
      </c>
      <c r="D18" s="2" t="s">
        <v>66</v>
      </c>
      <c r="E18" s="2"/>
      <c r="F18" s="2"/>
    </row>
    <row r="19" spans="1:6" x14ac:dyDescent="0.25">
      <c r="A19" s="2" t="s">
        <v>59</v>
      </c>
      <c r="B19" s="2" t="s">
        <v>69</v>
      </c>
      <c r="C19" s="2" t="s">
        <v>84</v>
      </c>
      <c r="D19" s="2" t="s">
        <v>67</v>
      </c>
      <c r="E19" s="2"/>
      <c r="F19" s="2"/>
    </row>
    <row r="20" spans="1:6" x14ac:dyDescent="0.25">
      <c r="A20" s="2" t="s">
        <v>60</v>
      </c>
      <c r="B20" s="2" t="s">
        <v>49</v>
      </c>
      <c r="C20" s="2"/>
      <c r="D20" s="2"/>
      <c r="E20" s="2"/>
      <c r="F20" s="2"/>
    </row>
    <row r="21" spans="1:6" x14ac:dyDescent="0.25">
      <c r="A21" s="2" t="s">
        <v>61</v>
      </c>
      <c r="B21" s="2" t="s">
        <v>70</v>
      </c>
      <c r="C21" s="2"/>
      <c r="D21" s="2"/>
      <c r="E21" s="2"/>
      <c r="F21" s="2"/>
    </row>
    <row r="22" spans="1:6" x14ac:dyDescent="0.25">
      <c r="A22" s="2" t="s">
        <v>62</v>
      </c>
      <c r="B22" s="2"/>
      <c r="C22" s="2"/>
      <c r="D22" s="2"/>
      <c r="E22" s="2"/>
      <c r="F22" s="2"/>
    </row>
    <row r="23" spans="1:6" ht="15.75" thickBot="1" x14ac:dyDescent="0.3">
      <c r="A23" s="3" t="s">
        <v>63</v>
      </c>
      <c r="B23" s="3"/>
      <c r="C23" s="3"/>
      <c r="D23" s="3"/>
      <c r="E23" s="3"/>
      <c r="F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2B8A-B612-476E-B982-2822BF6F727E}">
  <dimension ref="A1:P10"/>
  <sheetViews>
    <sheetView workbookViewId="0">
      <selection activeCell="N19" sqref="N19"/>
    </sheetView>
  </sheetViews>
  <sheetFormatPr defaultRowHeight="15" x14ac:dyDescent="0.25"/>
  <sheetData>
    <row r="1" spans="1:16" ht="15.75" thickBot="1" x14ac:dyDescent="0.3">
      <c r="A1" s="18" t="s">
        <v>2</v>
      </c>
      <c r="B1" s="18" t="s">
        <v>12</v>
      </c>
    </row>
    <row r="2" spans="1:16" ht="15.75" thickBot="1" x14ac:dyDescent="0.3">
      <c r="A2" s="18" t="s">
        <v>16</v>
      </c>
      <c r="B2" s="18" t="s">
        <v>15</v>
      </c>
    </row>
    <row r="3" spans="1:16" ht="15.75" thickBot="1" x14ac:dyDescent="0.3"/>
    <row r="4" spans="1:16" ht="15.75" thickBot="1" x14ac:dyDescent="0.3">
      <c r="A4" s="18" t="s">
        <v>2</v>
      </c>
      <c r="B4" s="18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</row>
    <row r="5" spans="1:16" ht="15.75" thickBot="1" x14ac:dyDescent="0.3">
      <c r="A5" s="17" t="str">
        <f>_xlfn.CONCAT(A2," [",B2,"]")</f>
        <v>2026-03-17 [AFA1504D0.260317.1]</v>
      </c>
      <c r="B5" s="17" t="s">
        <v>13</v>
      </c>
      <c r="C5" s="17" t="s">
        <v>24</v>
      </c>
      <c r="D5" s="17" t="s">
        <v>25</v>
      </c>
      <c r="E5" s="17" t="s">
        <v>78</v>
      </c>
      <c r="F5" s="17" t="s">
        <v>79</v>
      </c>
      <c r="G5" s="17" t="s">
        <v>23</v>
      </c>
      <c r="H5" s="17" t="s">
        <v>19</v>
      </c>
    </row>
    <row r="7" spans="1:16" ht="15.75" thickBot="1" x14ac:dyDescent="0.3"/>
    <row r="8" spans="1:16" ht="14.45" customHeight="1" x14ac:dyDescent="0.25">
      <c r="A8" s="20" t="str">
        <f>_xlfn.CONCAT("|	*Date*	|	*Result*	|	*Failure Category*	|	*Failure Sub Category*	|	*Root Cause Details*	|	*Fixation Performed*	|	*Remarks*	|	*Reviewer*	|")&amp;CHAR(10)&amp;_xlfn.CONCAT("|	",_xlfn.CONCAT(A2," *[",B2,"]*"),"	|	Fail	|	",C5,"	|	",D5,"	|	",E5,"	|	",F5,"	|	",G5,"	|	",H5,"	|")</f>
        <v>|	*Date*	|	*Result*	|	*Failure Category*	|	*Failure Sub Category*	|	*Root Cause Details*	|	*Fixation Performed*	|	*Remarks*	|	*Reviewer*	|
|	2026-03-17 *[AFA1504D0.260317.1]*	|	Fail	|	ICB Issue (Once)	|	Once Seen	|	A-Zone black screen post connecting Phone1 as wireless android auto.	|	Restarted Phone and updated android auto application on Phone1.	|	Executed manually in daytime, result: Pass.	|	Rajashri	|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1:16" x14ac:dyDescent="0.2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</row>
    <row r="10" spans="1:16" ht="15.75" thickBot="1" x14ac:dyDescent="0.3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8"/>
    </row>
  </sheetData>
  <mergeCells count="1">
    <mergeCell ref="A8:P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DED1-B4C8-4996-874A-3E70FC6A0905}">
  <dimension ref="A1:L12"/>
  <sheetViews>
    <sheetView workbookViewId="0">
      <selection activeCell="A3" sqref="A3:L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72</v>
      </c>
      <c r="B2" t="s">
        <v>71</v>
      </c>
      <c r="C2" s="4" t="s">
        <v>73</v>
      </c>
      <c r="D2" t="s">
        <v>74</v>
      </c>
      <c r="E2" t="s">
        <v>13</v>
      </c>
      <c r="F2" t="s">
        <v>24</v>
      </c>
      <c r="G2" t="s">
        <v>41</v>
      </c>
      <c r="H2" t="s">
        <v>75</v>
      </c>
      <c r="I2" t="s">
        <v>20</v>
      </c>
      <c r="J2" t="s">
        <v>23</v>
      </c>
      <c r="K2" t="s">
        <v>19</v>
      </c>
      <c r="L2" t="s">
        <v>29</v>
      </c>
    </row>
    <row r="3" spans="1:12" x14ac:dyDescent="0.25">
      <c r="C3" s="4"/>
    </row>
    <row r="4" spans="1:12" x14ac:dyDescent="0.25">
      <c r="C4" s="4"/>
    </row>
    <row r="5" spans="1:12" x14ac:dyDescent="0.25">
      <c r="C5" s="4"/>
    </row>
    <row r="6" spans="1:12" x14ac:dyDescent="0.25">
      <c r="C6" s="4"/>
    </row>
    <row r="7" spans="1:12" x14ac:dyDescent="0.25">
      <c r="C7" s="4"/>
    </row>
    <row r="8" spans="1:12" x14ac:dyDescent="0.25">
      <c r="C8" s="4"/>
    </row>
    <row r="9" spans="1:12" x14ac:dyDescent="0.25">
      <c r="C9" s="4"/>
    </row>
    <row r="10" spans="1:12" x14ac:dyDescent="0.25">
      <c r="C10" s="4"/>
    </row>
    <row r="11" spans="1:12" x14ac:dyDescent="0.25">
      <c r="C11" s="4"/>
    </row>
    <row r="12" spans="1:12" x14ac:dyDescent="0.25">
      <c r="C12" s="4"/>
    </row>
  </sheetData>
  <sortState xmlns:xlrd2="http://schemas.microsoft.com/office/spreadsheetml/2017/richdata2" ref="A2:L19">
    <sortCondition ref="A2:A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CA0F-F03F-46C3-9B1E-9FD06A71EF9B}">
  <dimension ref="A1:M8"/>
  <sheetViews>
    <sheetView workbookViewId="0">
      <selection activeCell="M16" sqref="M16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9" t="s">
        <v>108</v>
      </c>
    </row>
    <row r="2" spans="1:13" x14ac:dyDescent="0.25">
      <c r="A2" t="s">
        <v>101</v>
      </c>
      <c r="B2" t="s">
        <v>86</v>
      </c>
      <c r="C2" s="4" t="s">
        <v>100</v>
      </c>
      <c r="D2" t="s">
        <v>99</v>
      </c>
      <c r="E2" t="s">
        <v>13</v>
      </c>
      <c r="F2" t="s">
        <v>27</v>
      </c>
      <c r="G2" t="s">
        <v>28</v>
      </c>
      <c r="H2" t="s">
        <v>88</v>
      </c>
      <c r="I2" t="s">
        <v>89</v>
      </c>
      <c r="J2" t="s">
        <v>83</v>
      </c>
      <c r="K2" t="s">
        <v>19</v>
      </c>
      <c r="L2" t="s">
        <v>30</v>
      </c>
      <c r="M2" t="s">
        <v>109</v>
      </c>
    </row>
    <row r="3" spans="1:13" x14ac:dyDescent="0.25">
      <c r="A3" t="s">
        <v>102</v>
      </c>
      <c r="B3" t="s">
        <v>87</v>
      </c>
      <c r="C3" t="s">
        <v>100</v>
      </c>
      <c r="D3" t="s">
        <v>99</v>
      </c>
      <c r="E3" t="s">
        <v>13</v>
      </c>
      <c r="F3" t="s">
        <v>24</v>
      </c>
      <c r="G3" t="s">
        <v>84</v>
      </c>
      <c r="H3" t="s">
        <v>90</v>
      </c>
      <c r="I3" t="s">
        <v>20</v>
      </c>
      <c r="J3" t="s">
        <v>83</v>
      </c>
      <c r="K3" t="s">
        <v>19</v>
      </c>
      <c r="L3" t="s">
        <v>29</v>
      </c>
      <c r="M3" t="s">
        <v>109</v>
      </c>
    </row>
    <row r="4" spans="1:13" x14ac:dyDescent="0.25">
      <c r="A4" t="s">
        <v>103</v>
      </c>
      <c r="B4" t="s">
        <v>76</v>
      </c>
      <c r="C4" t="s">
        <v>100</v>
      </c>
      <c r="D4" t="s">
        <v>99</v>
      </c>
      <c r="E4" t="s">
        <v>13</v>
      </c>
      <c r="F4" t="s">
        <v>27</v>
      </c>
      <c r="G4" t="s">
        <v>28</v>
      </c>
      <c r="H4" t="s">
        <v>91</v>
      </c>
      <c r="I4" t="s">
        <v>20</v>
      </c>
      <c r="J4" t="s">
        <v>83</v>
      </c>
      <c r="K4" t="s">
        <v>19</v>
      </c>
      <c r="L4" t="s">
        <v>29</v>
      </c>
      <c r="M4" t="s">
        <v>109</v>
      </c>
    </row>
    <row r="5" spans="1:13" x14ac:dyDescent="0.25">
      <c r="A5" t="s">
        <v>104</v>
      </c>
      <c r="B5" t="s">
        <v>77</v>
      </c>
      <c r="C5" t="s">
        <v>100</v>
      </c>
      <c r="D5" t="s">
        <v>99</v>
      </c>
      <c r="E5" t="s">
        <v>13</v>
      </c>
      <c r="F5" t="s">
        <v>27</v>
      </c>
      <c r="G5" t="s">
        <v>28</v>
      </c>
      <c r="H5" t="s">
        <v>92</v>
      </c>
      <c r="I5" t="s">
        <v>93</v>
      </c>
      <c r="J5" t="s">
        <v>83</v>
      </c>
      <c r="K5" t="s">
        <v>19</v>
      </c>
      <c r="L5" t="s">
        <v>30</v>
      </c>
      <c r="M5" t="s">
        <v>109</v>
      </c>
    </row>
    <row r="6" spans="1:13" x14ac:dyDescent="0.25">
      <c r="A6" t="s">
        <v>105</v>
      </c>
      <c r="B6" t="s">
        <v>80</v>
      </c>
      <c r="C6" t="s">
        <v>100</v>
      </c>
      <c r="D6" t="s">
        <v>99</v>
      </c>
      <c r="E6" t="s">
        <v>13</v>
      </c>
      <c r="F6" t="s">
        <v>27</v>
      </c>
      <c r="G6" t="s">
        <v>28</v>
      </c>
      <c r="H6" t="s">
        <v>94</v>
      </c>
      <c r="I6" t="s">
        <v>95</v>
      </c>
      <c r="J6" t="s">
        <v>96</v>
      </c>
      <c r="K6" t="s">
        <v>19</v>
      </c>
      <c r="L6" t="s">
        <v>30</v>
      </c>
      <c r="M6" t="s">
        <v>109</v>
      </c>
    </row>
    <row r="7" spans="1:13" x14ac:dyDescent="0.25">
      <c r="A7" t="s">
        <v>106</v>
      </c>
      <c r="B7" t="s">
        <v>81</v>
      </c>
      <c r="C7" t="s">
        <v>100</v>
      </c>
      <c r="D7" t="s">
        <v>99</v>
      </c>
      <c r="E7" t="s">
        <v>13</v>
      </c>
      <c r="F7" t="s">
        <v>27</v>
      </c>
      <c r="G7" t="s">
        <v>28</v>
      </c>
      <c r="H7" t="s">
        <v>94</v>
      </c>
      <c r="I7" t="s">
        <v>95</v>
      </c>
      <c r="J7" t="s">
        <v>96</v>
      </c>
      <c r="K7" t="s">
        <v>19</v>
      </c>
      <c r="L7" t="s">
        <v>30</v>
      </c>
      <c r="M7" t="s">
        <v>109</v>
      </c>
    </row>
    <row r="8" spans="1:13" x14ac:dyDescent="0.25">
      <c r="A8" t="s">
        <v>107</v>
      </c>
      <c r="B8" t="s">
        <v>82</v>
      </c>
      <c r="C8" t="s">
        <v>100</v>
      </c>
      <c r="D8" t="s">
        <v>99</v>
      </c>
      <c r="E8" t="s">
        <v>13</v>
      </c>
      <c r="F8" t="s">
        <v>27</v>
      </c>
      <c r="G8" t="s">
        <v>49</v>
      </c>
      <c r="H8" t="s">
        <v>97</v>
      </c>
      <c r="I8" t="s">
        <v>98</v>
      </c>
      <c r="J8" t="s">
        <v>83</v>
      </c>
      <c r="K8" t="s">
        <v>19</v>
      </c>
      <c r="L8" t="s">
        <v>30</v>
      </c>
      <c r="M8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1E2F-FDFD-4EC2-B2AC-713DAB93336E}">
  <dimension ref="A1:N21"/>
  <sheetViews>
    <sheetView topLeftCell="A2" workbookViewId="0">
      <selection activeCell="B19" sqref="B1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9" t="s">
        <v>108</v>
      </c>
    </row>
    <row r="2" spans="1:14" x14ac:dyDescent="0.25">
      <c r="A2" t="s">
        <v>133</v>
      </c>
      <c r="B2" t="s">
        <v>111</v>
      </c>
      <c r="C2" s="4" t="s">
        <v>132</v>
      </c>
      <c r="D2" t="s">
        <v>131</v>
      </c>
      <c r="E2" t="s">
        <v>13</v>
      </c>
      <c r="F2" t="s">
        <v>32</v>
      </c>
      <c r="G2" t="s">
        <v>36</v>
      </c>
      <c r="H2" t="s">
        <v>123</v>
      </c>
      <c r="I2" t="s">
        <v>20</v>
      </c>
      <c r="J2" t="s">
        <v>83</v>
      </c>
      <c r="K2" t="s">
        <v>19</v>
      </c>
      <c r="L2" t="s">
        <v>29</v>
      </c>
      <c r="M2" t="s">
        <v>109</v>
      </c>
    </row>
    <row r="3" spans="1:14" x14ac:dyDescent="0.25">
      <c r="A3" t="s">
        <v>134</v>
      </c>
      <c r="B3" t="s">
        <v>71</v>
      </c>
      <c r="C3" s="4" t="s">
        <v>132</v>
      </c>
      <c r="D3" t="s">
        <v>131</v>
      </c>
      <c r="E3" t="s">
        <v>13</v>
      </c>
      <c r="F3" t="s">
        <v>32</v>
      </c>
      <c r="G3" t="s">
        <v>36</v>
      </c>
      <c r="H3" t="s">
        <v>123</v>
      </c>
      <c r="I3" t="s">
        <v>20</v>
      </c>
      <c r="J3" t="s">
        <v>83</v>
      </c>
      <c r="K3" t="s">
        <v>19</v>
      </c>
      <c r="L3" t="s">
        <v>29</v>
      </c>
    </row>
    <row r="4" spans="1:14" x14ac:dyDescent="0.25">
      <c r="A4" t="s">
        <v>104</v>
      </c>
      <c r="B4" t="s">
        <v>77</v>
      </c>
      <c r="C4" s="4" t="s">
        <v>132</v>
      </c>
      <c r="D4" t="s">
        <v>131</v>
      </c>
      <c r="E4" t="s">
        <v>13</v>
      </c>
      <c r="F4" t="s">
        <v>27</v>
      </c>
      <c r="G4" t="s">
        <v>28</v>
      </c>
      <c r="H4" t="s">
        <v>124</v>
      </c>
      <c r="I4" t="s">
        <v>93</v>
      </c>
      <c r="J4" t="s">
        <v>83</v>
      </c>
      <c r="K4" t="s">
        <v>19</v>
      </c>
      <c r="L4" t="s">
        <v>30</v>
      </c>
    </row>
    <row r="5" spans="1:14" x14ac:dyDescent="0.25">
      <c r="A5" t="s">
        <v>135</v>
      </c>
      <c r="B5" t="s">
        <v>112</v>
      </c>
      <c r="C5" s="4" t="s">
        <v>132</v>
      </c>
      <c r="D5" t="s">
        <v>131</v>
      </c>
      <c r="E5" t="s">
        <v>13</v>
      </c>
      <c r="F5" t="s">
        <v>27</v>
      </c>
      <c r="G5" t="s">
        <v>28</v>
      </c>
      <c r="H5" t="s">
        <v>125</v>
      </c>
      <c r="I5" t="s">
        <v>20</v>
      </c>
      <c r="J5" t="s">
        <v>83</v>
      </c>
      <c r="K5" t="s">
        <v>19</v>
      </c>
      <c r="L5" t="s">
        <v>29</v>
      </c>
    </row>
    <row r="6" spans="1:14" x14ac:dyDescent="0.25">
      <c r="A6" t="s">
        <v>136</v>
      </c>
      <c r="B6" t="s">
        <v>113</v>
      </c>
      <c r="C6" s="4" t="s">
        <v>132</v>
      </c>
      <c r="D6" t="s">
        <v>131</v>
      </c>
      <c r="E6" t="s">
        <v>13</v>
      </c>
      <c r="F6" t="s">
        <v>32</v>
      </c>
      <c r="G6" t="s">
        <v>36</v>
      </c>
      <c r="H6" t="s">
        <v>123</v>
      </c>
      <c r="I6" t="s">
        <v>20</v>
      </c>
      <c r="J6" t="s">
        <v>83</v>
      </c>
      <c r="K6" t="s">
        <v>19</v>
      </c>
      <c r="L6" t="s">
        <v>29</v>
      </c>
    </row>
    <row r="7" spans="1:14" x14ac:dyDescent="0.25">
      <c r="A7" t="s">
        <v>137</v>
      </c>
      <c r="B7" t="s">
        <v>114</v>
      </c>
      <c r="C7" s="4" t="s">
        <v>132</v>
      </c>
      <c r="D7" t="s">
        <v>131</v>
      </c>
      <c r="E7" t="s">
        <v>13</v>
      </c>
      <c r="F7" t="s">
        <v>27</v>
      </c>
      <c r="G7" t="s">
        <v>28</v>
      </c>
      <c r="H7" t="s">
        <v>126</v>
      </c>
      <c r="I7" t="s">
        <v>127</v>
      </c>
      <c r="J7" s="29" t="s">
        <v>149</v>
      </c>
      <c r="K7" t="s">
        <v>19</v>
      </c>
      <c r="L7" t="s">
        <v>30</v>
      </c>
      <c r="N7" t="s">
        <v>150</v>
      </c>
    </row>
    <row r="8" spans="1:14" x14ac:dyDescent="0.25">
      <c r="A8" t="s">
        <v>138</v>
      </c>
      <c r="B8" t="s">
        <v>115</v>
      </c>
      <c r="C8" s="4" t="s">
        <v>132</v>
      </c>
      <c r="D8" t="s">
        <v>131</v>
      </c>
      <c r="E8" t="s">
        <v>13</v>
      </c>
      <c r="F8" t="s">
        <v>27</v>
      </c>
      <c r="G8" t="s">
        <v>28</v>
      </c>
      <c r="H8" t="s">
        <v>126</v>
      </c>
      <c r="I8" t="s">
        <v>127</v>
      </c>
      <c r="J8" s="29" t="s">
        <v>149</v>
      </c>
      <c r="K8" t="s">
        <v>19</v>
      </c>
      <c r="L8" t="s">
        <v>30</v>
      </c>
      <c r="N8" t="s">
        <v>150</v>
      </c>
    </row>
    <row r="9" spans="1:14" x14ac:dyDescent="0.25">
      <c r="A9" t="s">
        <v>139</v>
      </c>
      <c r="B9" t="s">
        <v>116</v>
      </c>
      <c r="C9" s="4" t="s">
        <v>132</v>
      </c>
      <c r="D9" t="s">
        <v>131</v>
      </c>
      <c r="E9" t="s">
        <v>13</v>
      </c>
      <c r="F9" t="s">
        <v>27</v>
      </c>
      <c r="G9" t="s">
        <v>28</v>
      </c>
      <c r="H9" t="s">
        <v>126</v>
      </c>
      <c r="I9" t="s">
        <v>127</v>
      </c>
      <c r="J9" s="29" t="s">
        <v>149</v>
      </c>
      <c r="K9" t="s">
        <v>19</v>
      </c>
      <c r="L9" t="s">
        <v>30</v>
      </c>
      <c r="N9" t="s">
        <v>150</v>
      </c>
    </row>
    <row r="10" spans="1:14" x14ac:dyDescent="0.25">
      <c r="A10" t="s">
        <v>140</v>
      </c>
      <c r="B10" t="s">
        <v>117</v>
      </c>
      <c r="C10" s="4" t="s">
        <v>132</v>
      </c>
      <c r="D10" t="s">
        <v>131</v>
      </c>
      <c r="E10" t="s">
        <v>13</v>
      </c>
      <c r="F10" t="s">
        <v>27</v>
      </c>
      <c r="G10" t="s">
        <v>28</v>
      </c>
      <c r="H10" t="s">
        <v>126</v>
      </c>
      <c r="I10" t="s">
        <v>127</v>
      </c>
      <c r="J10" s="29" t="s">
        <v>149</v>
      </c>
      <c r="K10" t="s">
        <v>19</v>
      </c>
      <c r="L10" t="s">
        <v>30</v>
      </c>
      <c r="N10" t="s">
        <v>150</v>
      </c>
    </row>
    <row r="11" spans="1:14" x14ac:dyDescent="0.25">
      <c r="A11" t="s">
        <v>141</v>
      </c>
      <c r="B11" t="s">
        <v>118</v>
      </c>
      <c r="C11" s="4" t="s">
        <v>132</v>
      </c>
      <c r="D11" t="s">
        <v>131</v>
      </c>
      <c r="E11" t="s">
        <v>13</v>
      </c>
      <c r="F11" t="s">
        <v>27</v>
      </c>
      <c r="G11" t="s">
        <v>28</v>
      </c>
      <c r="H11" t="s">
        <v>126</v>
      </c>
      <c r="I11" t="s">
        <v>127</v>
      </c>
      <c r="J11" s="29" t="s">
        <v>149</v>
      </c>
      <c r="K11" t="s">
        <v>19</v>
      </c>
      <c r="L11" t="s">
        <v>30</v>
      </c>
      <c r="N11" t="s">
        <v>150</v>
      </c>
    </row>
    <row r="12" spans="1:14" x14ac:dyDescent="0.25">
      <c r="A12" t="s">
        <v>142</v>
      </c>
      <c r="B12" t="s">
        <v>119</v>
      </c>
      <c r="C12" s="4" t="s">
        <v>132</v>
      </c>
      <c r="D12" t="s">
        <v>131</v>
      </c>
      <c r="E12" t="s">
        <v>13</v>
      </c>
      <c r="F12" t="s">
        <v>27</v>
      </c>
      <c r="G12" t="s">
        <v>28</v>
      </c>
      <c r="H12" t="s">
        <v>126</v>
      </c>
      <c r="I12" t="s">
        <v>127</v>
      </c>
      <c r="J12" s="29" t="s">
        <v>149</v>
      </c>
      <c r="K12" t="s">
        <v>19</v>
      </c>
      <c r="L12" t="s">
        <v>30</v>
      </c>
      <c r="N12" t="s">
        <v>150</v>
      </c>
    </row>
    <row r="13" spans="1:14" x14ac:dyDescent="0.25">
      <c r="A13" t="s">
        <v>143</v>
      </c>
      <c r="B13" t="s">
        <v>120</v>
      </c>
      <c r="C13" s="4" t="s">
        <v>132</v>
      </c>
      <c r="D13" t="s">
        <v>131</v>
      </c>
      <c r="E13" t="s">
        <v>13</v>
      </c>
      <c r="F13" t="s">
        <v>32</v>
      </c>
      <c r="G13" t="s">
        <v>36</v>
      </c>
      <c r="H13" t="s">
        <v>123</v>
      </c>
      <c r="I13" t="s">
        <v>20</v>
      </c>
      <c r="J13" t="s">
        <v>83</v>
      </c>
      <c r="K13" t="s">
        <v>19</v>
      </c>
      <c r="L13" t="s">
        <v>29</v>
      </c>
    </row>
    <row r="14" spans="1:14" x14ac:dyDescent="0.25">
      <c r="A14" t="s">
        <v>105</v>
      </c>
      <c r="B14" t="s">
        <v>80</v>
      </c>
      <c r="C14" s="4" t="s">
        <v>132</v>
      </c>
      <c r="D14" t="s">
        <v>131</v>
      </c>
      <c r="E14" t="s">
        <v>13</v>
      </c>
      <c r="F14" t="s">
        <v>27</v>
      </c>
      <c r="G14" t="s">
        <v>28</v>
      </c>
      <c r="H14" t="s">
        <v>128</v>
      </c>
      <c r="I14" t="s">
        <v>20</v>
      </c>
      <c r="J14" t="s">
        <v>83</v>
      </c>
      <c r="K14" t="s">
        <v>19</v>
      </c>
      <c r="L14" t="s">
        <v>29</v>
      </c>
    </row>
    <row r="15" spans="1:14" x14ac:dyDescent="0.25">
      <c r="A15" t="s">
        <v>106</v>
      </c>
      <c r="B15" t="s">
        <v>81</v>
      </c>
      <c r="C15" s="4" t="s">
        <v>132</v>
      </c>
      <c r="D15" t="s">
        <v>131</v>
      </c>
      <c r="E15" t="s">
        <v>13</v>
      </c>
      <c r="F15" t="s">
        <v>27</v>
      </c>
      <c r="G15" t="s">
        <v>28</v>
      </c>
      <c r="H15" t="s">
        <v>128</v>
      </c>
      <c r="I15" t="s">
        <v>20</v>
      </c>
      <c r="J15" t="s">
        <v>83</v>
      </c>
      <c r="K15" t="s">
        <v>19</v>
      </c>
      <c r="L15" t="s">
        <v>29</v>
      </c>
    </row>
    <row r="16" spans="1:14" x14ac:dyDescent="0.25">
      <c r="A16" t="s">
        <v>107</v>
      </c>
      <c r="B16" t="s">
        <v>82</v>
      </c>
      <c r="C16" s="4" t="s">
        <v>132</v>
      </c>
      <c r="D16" t="s">
        <v>131</v>
      </c>
      <c r="E16" t="s">
        <v>13</v>
      </c>
      <c r="F16" t="s">
        <v>27</v>
      </c>
      <c r="G16" t="s">
        <v>28</v>
      </c>
      <c r="H16" t="s">
        <v>128</v>
      </c>
      <c r="I16" t="s">
        <v>20</v>
      </c>
      <c r="J16" t="s">
        <v>83</v>
      </c>
      <c r="K16" t="s">
        <v>19</v>
      </c>
      <c r="L16" t="s">
        <v>29</v>
      </c>
    </row>
    <row r="17" spans="1:12" x14ac:dyDescent="0.25">
      <c r="A17" t="s">
        <v>144</v>
      </c>
      <c r="B17" t="s">
        <v>121</v>
      </c>
      <c r="C17" s="4" t="s">
        <v>132</v>
      </c>
      <c r="D17" t="s">
        <v>131</v>
      </c>
      <c r="E17" t="s">
        <v>13</v>
      </c>
      <c r="F17" t="s">
        <v>32</v>
      </c>
      <c r="G17" t="s">
        <v>36</v>
      </c>
      <c r="H17" t="s">
        <v>123</v>
      </c>
      <c r="I17" t="s">
        <v>20</v>
      </c>
      <c r="J17" t="s">
        <v>83</v>
      </c>
      <c r="K17" t="s">
        <v>19</v>
      </c>
      <c r="L17" t="s">
        <v>29</v>
      </c>
    </row>
    <row r="18" spans="1:12" x14ac:dyDescent="0.25">
      <c r="A18" t="s">
        <v>145</v>
      </c>
      <c r="B18" t="s">
        <v>122</v>
      </c>
      <c r="C18" s="4" t="s">
        <v>132</v>
      </c>
      <c r="D18" t="s">
        <v>131</v>
      </c>
      <c r="E18" t="s">
        <v>13</v>
      </c>
      <c r="F18" t="s">
        <v>24</v>
      </c>
      <c r="G18" t="s">
        <v>146</v>
      </c>
      <c r="H18" t="s">
        <v>129</v>
      </c>
      <c r="I18" t="s">
        <v>130</v>
      </c>
      <c r="J18" t="s">
        <v>83</v>
      </c>
      <c r="K18" t="s">
        <v>19</v>
      </c>
      <c r="L18" t="s">
        <v>30</v>
      </c>
    </row>
    <row r="19" spans="1:12" x14ac:dyDescent="0.25">
      <c r="A19" t="s">
        <v>101</v>
      </c>
      <c r="B19" t="s">
        <v>86</v>
      </c>
      <c r="C19" s="4" t="s">
        <v>132</v>
      </c>
      <c r="D19" t="s">
        <v>131</v>
      </c>
      <c r="E19" t="s">
        <v>148</v>
      </c>
    </row>
    <row r="20" spans="1:12" x14ac:dyDescent="0.25">
      <c r="A20" t="s">
        <v>102</v>
      </c>
      <c r="B20" t="s">
        <v>87</v>
      </c>
      <c r="C20" s="4" t="s">
        <v>132</v>
      </c>
      <c r="D20" t="s">
        <v>131</v>
      </c>
      <c r="E20" t="s">
        <v>148</v>
      </c>
    </row>
    <row r="21" spans="1:12" x14ac:dyDescent="0.25">
      <c r="A21" t="s">
        <v>103</v>
      </c>
      <c r="B21" t="s">
        <v>76</v>
      </c>
      <c r="C21" s="4" t="s">
        <v>132</v>
      </c>
      <c r="D21" t="s">
        <v>131</v>
      </c>
      <c r="E21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9926-A49C-457E-84DB-1CDB5C429E1F}">
  <sheetPr filterMode="1"/>
  <dimension ref="A1:M14"/>
  <sheetViews>
    <sheetView workbookViewId="0">
      <selection activeCell="F1" sqref="A1:M11"/>
    </sheetView>
  </sheetViews>
  <sheetFormatPr defaultRowHeight="15" x14ac:dyDescent="0.25"/>
  <cols>
    <col min="2" max="2" width="23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9" t="s">
        <v>108</v>
      </c>
    </row>
    <row r="2" spans="1:13" x14ac:dyDescent="0.25">
      <c r="A2" t="s">
        <v>133</v>
      </c>
      <c r="B2" t="s">
        <v>111</v>
      </c>
      <c r="C2" s="4" t="s">
        <v>132</v>
      </c>
      <c r="D2" t="s">
        <v>131</v>
      </c>
      <c r="E2" t="s">
        <v>13</v>
      </c>
      <c r="F2" t="s">
        <v>32</v>
      </c>
      <c r="G2" t="s">
        <v>147</v>
      </c>
      <c r="H2" t="s">
        <v>123</v>
      </c>
      <c r="I2" t="s">
        <v>20</v>
      </c>
      <c r="J2" s="29" t="s">
        <v>160</v>
      </c>
      <c r="K2" t="s">
        <v>19</v>
      </c>
      <c r="L2" t="s">
        <v>30</v>
      </c>
      <c r="M2" t="s">
        <v>109</v>
      </c>
    </row>
    <row r="3" spans="1:13" x14ac:dyDescent="0.25">
      <c r="A3" t="s">
        <v>134</v>
      </c>
      <c r="B3" t="s">
        <v>71</v>
      </c>
      <c r="C3" s="4" t="s">
        <v>132</v>
      </c>
      <c r="D3" t="s">
        <v>131</v>
      </c>
      <c r="E3" t="s">
        <v>13</v>
      </c>
      <c r="F3" t="s">
        <v>32</v>
      </c>
      <c r="G3" t="s">
        <v>147</v>
      </c>
      <c r="H3" t="s">
        <v>123</v>
      </c>
      <c r="I3" t="s">
        <v>20</v>
      </c>
      <c r="J3" s="29" t="s">
        <v>159</v>
      </c>
      <c r="K3" t="s">
        <v>19</v>
      </c>
      <c r="M3" t="s">
        <v>109</v>
      </c>
    </row>
    <row r="4" spans="1:13" hidden="1" x14ac:dyDescent="0.25">
      <c r="A4" t="s">
        <v>104</v>
      </c>
      <c r="B4" t="s">
        <v>77</v>
      </c>
      <c r="C4" s="4" t="s">
        <v>132</v>
      </c>
      <c r="D4" t="s">
        <v>131</v>
      </c>
      <c r="E4" t="s">
        <v>13</v>
      </c>
      <c r="F4" t="s">
        <v>27</v>
      </c>
      <c r="G4" t="s">
        <v>28</v>
      </c>
      <c r="H4" t="s">
        <v>124</v>
      </c>
      <c r="I4" t="s">
        <v>93</v>
      </c>
      <c r="J4" s="29" t="s">
        <v>155</v>
      </c>
      <c r="K4" t="s">
        <v>19</v>
      </c>
      <c r="M4" t="s">
        <v>109</v>
      </c>
    </row>
    <row r="5" spans="1:13" hidden="1" x14ac:dyDescent="0.25">
      <c r="A5" t="s">
        <v>135</v>
      </c>
      <c r="B5" t="s">
        <v>112</v>
      </c>
      <c r="C5" s="4" t="s">
        <v>132</v>
      </c>
      <c r="D5" t="s">
        <v>131</v>
      </c>
      <c r="E5" t="s">
        <v>13</v>
      </c>
      <c r="F5" t="s">
        <v>27</v>
      </c>
      <c r="G5" t="s">
        <v>28</v>
      </c>
      <c r="H5" t="s">
        <v>125</v>
      </c>
      <c r="I5" t="s">
        <v>20</v>
      </c>
      <c r="J5" s="29" t="s">
        <v>152</v>
      </c>
      <c r="K5" t="s">
        <v>19</v>
      </c>
      <c r="M5" t="s">
        <v>109</v>
      </c>
    </row>
    <row r="6" spans="1:13" x14ac:dyDescent="0.25">
      <c r="A6" t="s">
        <v>136</v>
      </c>
      <c r="B6" t="s">
        <v>113</v>
      </c>
      <c r="C6" s="4" t="s">
        <v>132</v>
      </c>
      <c r="D6" t="s">
        <v>131</v>
      </c>
      <c r="E6" t="s">
        <v>13</v>
      </c>
      <c r="F6" t="s">
        <v>32</v>
      </c>
      <c r="G6" t="s">
        <v>147</v>
      </c>
      <c r="H6" t="s">
        <v>123</v>
      </c>
      <c r="I6" t="s">
        <v>20</v>
      </c>
      <c r="J6" s="29" t="s">
        <v>153</v>
      </c>
      <c r="K6" t="s">
        <v>19</v>
      </c>
      <c r="M6" t="s">
        <v>109</v>
      </c>
    </row>
    <row r="7" spans="1:13" x14ac:dyDescent="0.25">
      <c r="A7" t="s">
        <v>143</v>
      </c>
      <c r="B7" t="s">
        <v>120</v>
      </c>
      <c r="C7" s="4" t="s">
        <v>132</v>
      </c>
      <c r="D7" t="s">
        <v>131</v>
      </c>
      <c r="E7" t="s">
        <v>13</v>
      </c>
      <c r="F7" t="s">
        <v>32</v>
      </c>
      <c r="G7" t="s">
        <v>147</v>
      </c>
      <c r="H7" t="s">
        <v>123</v>
      </c>
      <c r="I7" t="s">
        <v>20</v>
      </c>
      <c r="J7" s="29" t="s">
        <v>158</v>
      </c>
      <c r="K7" t="s">
        <v>19</v>
      </c>
      <c r="M7" t="s">
        <v>109</v>
      </c>
    </row>
    <row r="8" spans="1:13" hidden="1" x14ac:dyDescent="0.25">
      <c r="A8" t="s">
        <v>105</v>
      </c>
      <c r="B8" t="s">
        <v>80</v>
      </c>
      <c r="C8" s="4" t="s">
        <v>132</v>
      </c>
      <c r="D8" t="s">
        <v>131</v>
      </c>
      <c r="E8" t="s">
        <v>13</v>
      </c>
      <c r="F8" t="s">
        <v>27</v>
      </c>
      <c r="G8" t="s">
        <v>28</v>
      </c>
      <c r="H8" t="s">
        <v>128</v>
      </c>
      <c r="I8" t="s">
        <v>20</v>
      </c>
      <c r="J8" s="29" t="s">
        <v>157</v>
      </c>
      <c r="K8" t="s">
        <v>19</v>
      </c>
      <c r="M8" t="s">
        <v>109</v>
      </c>
    </row>
    <row r="9" spans="1:13" hidden="1" x14ac:dyDescent="0.25">
      <c r="A9" t="s">
        <v>106</v>
      </c>
      <c r="B9" t="s">
        <v>81</v>
      </c>
      <c r="C9" s="4" t="s">
        <v>132</v>
      </c>
      <c r="D9" t="s">
        <v>131</v>
      </c>
      <c r="E9" t="s">
        <v>13</v>
      </c>
      <c r="F9" t="s">
        <v>27</v>
      </c>
      <c r="G9" t="s">
        <v>28</v>
      </c>
      <c r="H9" t="s">
        <v>128</v>
      </c>
      <c r="I9" t="s">
        <v>20</v>
      </c>
      <c r="J9" s="29" t="s">
        <v>156</v>
      </c>
      <c r="K9" t="s">
        <v>19</v>
      </c>
      <c r="M9" t="s">
        <v>109</v>
      </c>
    </row>
    <row r="10" spans="1:13" x14ac:dyDescent="0.25">
      <c r="A10" t="s">
        <v>144</v>
      </c>
      <c r="B10" t="s">
        <v>121</v>
      </c>
      <c r="C10" s="4" t="s">
        <v>132</v>
      </c>
      <c r="D10" t="s">
        <v>131</v>
      </c>
      <c r="E10" t="s">
        <v>13</v>
      </c>
      <c r="F10" t="s">
        <v>32</v>
      </c>
      <c r="G10" t="s">
        <v>147</v>
      </c>
      <c r="H10" t="s">
        <v>123</v>
      </c>
      <c r="I10" t="s">
        <v>20</v>
      </c>
      <c r="J10" s="29" t="s">
        <v>154</v>
      </c>
      <c r="K10" t="s">
        <v>19</v>
      </c>
      <c r="M10" t="s">
        <v>109</v>
      </c>
    </row>
    <row r="11" spans="1:13" hidden="1" x14ac:dyDescent="0.25">
      <c r="A11" t="s">
        <v>145</v>
      </c>
      <c r="B11" t="s">
        <v>122</v>
      </c>
      <c r="C11" s="4" t="s">
        <v>132</v>
      </c>
      <c r="D11" t="s">
        <v>131</v>
      </c>
      <c r="E11" t="s">
        <v>13</v>
      </c>
      <c r="F11" t="s">
        <v>24</v>
      </c>
      <c r="G11" t="s">
        <v>146</v>
      </c>
      <c r="H11" t="s">
        <v>129</v>
      </c>
      <c r="I11" t="s">
        <v>130</v>
      </c>
      <c r="J11" s="29" t="s">
        <v>151</v>
      </c>
      <c r="K11" t="s">
        <v>19</v>
      </c>
      <c r="M11" t="s">
        <v>109</v>
      </c>
    </row>
    <row r="12" spans="1:13" x14ac:dyDescent="0.25">
      <c r="C12" s="4"/>
    </row>
    <row r="13" spans="1:13" x14ac:dyDescent="0.25">
      <c r="C13" s="4"/>
    </row>
    <row r="14" spans="1:13" x14ac:dyDescent="0.25">
      <c r="C14" s="4"/>
    </row>
  </sheetData>
  <autoFilter ref="A1:M11" xr:uid="{74779926-A49C-457E-84DB-1CDB5C429E1F}">
    <filterColumn colId="6">
      <filters>
        <filter val="Valid Issu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7A24-5304-4B67-8712-998917F5927F}">
  <dimension ref="A1:M6"/>
  <sheetViews>
    <sheetView tabSelected="1" workbookViewId="0">
      <selection activeCell="J1" sqref="J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9" t="s">
        <v>108</v>
      </c>
    </row>
    <row r="2" spans="1:13" x14ac:dyDescent="0.25">
      <c r="A2" t="s">
        <v>133</v>
      </c>
      <c r="B2" t="s">
        <v>111</v>
      </c>
      <c r="C2" s="4" t="s">
        <v>132</v>
      </c>
      <c r="D2" t="s">
        <v>131</v>
      </c>
      <c r="E2" t="s">
        <v>13</v>
      </c>
      <c r="F2" t="s">
        <v>32</v>
      </c>
      <c r="G2" t="s">
        <v>147</v>
      </c>
      <c r="H2" t="s">
        <v>123</v>
      </c>
      <c r="I2" t="s">
        <v>20</v>
      </c>
      <c r="J2" s="29" t="s">
        <v>160</v>
      </c>
      <c r="K2" t="s">
        <v>19</v>
      </c>
      <c r="L2" t="s">
        <v>30</v>
      </c>
      <c r="M2" t="s">
        <v>109</v>
      </c>
    </row>
    <row r="3" spans="1:13" x14ac:dyDescent="0.25">
      <c r="A3" t="s">
        <v>134</v>
      </c>
      <c r="B3" t="s">
        <v>71</v>
      </c>
      <c r="C3" s="4" t="s">
        <v>132</v>
      </c>
      <c r="D3" t="s">
        <v>131</v>
      </c>
      <c r="E3" t="s">
        <v>13</v>
      </c>
      <c r="F3" t="s">
        <v>32</v>
      </c>
      <c r="G3" t="s">
        <v>147</v>
      </c>
      <c r="H3" t="s">
        <v>123</v>
      </c>
      <c r="I3" t="s">
        <v>20</v>
      </c>
      <c r="J3" s="29" t="s">
        <v>159</v>
      </c>
      <c r="K3" t="s">
        <v>19</v>
      </c>
      <c r="M3" t="s">
        <v>109</v>
      </c>
    </row>
    <row r="4" spans="1:13" x14ac:dyDescent="0.25">
      <c r="A4" t="s">
        <v>136</v>
      </c>
      <c r="B4" t="s">
        <v>113</v>
      </c>
      <c r="C4" s="4" t="s">
        <v>132</v>
      </c>
      <c r="D4" t="s">
        <v>131</v>
      </c>
      <c r="E4" t="s">
        <v>13</v>
      </c>
      <c r="F4" t="s">
        <v>32</v>
      </c>
      <c r="G4" t="s">
        <v>147</v>
      </c>
      <c r="H4" t="s">
        <v>123</v>
      </c>
      <c r="I4" t="s">
        <v>20</v>
      </c>
      <c r="J4" s="29" t="s">
        <v>153</v>
      </c>
      <c r="K4" t="s">
        <v>19</v>
      </c>
      <c r="M4" t="s">
        <v>109</v>
      </c>
    </row>
    <row r="5" spans="1:13" x14ac:dyDescent="0.25">
      <c r="A5" t="s">
        <v>143</v>
      </c>
      <c r="B5" t="s">
        <v>120</v>
      </c>
      <c r="C5" s="4" t="s">
        <v>132</v>
      </c>
      <c r="D5" t="s">
        <v>131</v>
      </c>
      <c r="E5" t="s">
        <v>13</v>
      </c>
      <c r="F5" t="s">
        <v>32</v>
      </c>
      <c r="G5" t="s">
        <v>147</v>
      </c>
      <c r="H5" t="s">
        <v>123</v>
      </c>
      <c r="I5" t="s">
        <v>20</v>
      </c>
      <c r="J5" s="29" t="s">
        <v>158</v>
      </c>
      <c r="K5" t="s">
        <v>19</v>
      </c>
      <c r="M5" t="s">
        <v>109</v>
      </c>
    </row>
    <row r="6" spans="1:13" x14ac:dyDescent="0.25">
      <c r="A6" t="s">
        <v>144</v>
      </c>
      <c r="B6" t="s">
        <v>121</v>
      </c>
      <c r="C6" s="4" t="s">
        <v>132</v>
      </c>
      <c r="D6" t="s">
        <v>131</v>
      </c>
      <c r="E6" t="s">
        <v>13</v>
      </c>
      <c r="F6" t="s">
        <v>32</v>
      </c>
      <c r="G6" t="s">
        <v>147</v>
      </c>
      <c r="H6" t="s">
        <v>123</v>
      </c>
      <c r="I6" t="s">
        <v>20</v>
      </c>
      <c r="J6" s="29" t="s">
        <v>154</v>
      </c>
      <c r="K6" t="s">
        <v>19</v>
      </c>
      <c r="M6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92CE-FACD-4977-AB26-248EBFADF4A9}">
  <dimension ref="A1:M9"/>
  <sheetViews>
    <sheetView workbookViewId="0">
      <selection activeCell="L2" sqref="L2:L9"/>
    </sheetView>
  </sheetViews>
  <sheetFormatPr defaultRowHeight="15" x14ac:dyDescent="0.25"/>
  <cols>
    <col min="2" max="2" width="23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9" t="s">
        <v>108</v>
      </c>
    </row>
    <row r="2" spans="1:13" x14ac:dyDescent="0.25">
      <c r="A2" t="s">
        <v>186</v>
      </c>
      <c r="B2" t="s">
        <v>161</v>
      </c>
      <c r="C2" s="4" t="s">
        <v>132</v>
      </c>
      <c r="D2" t="s">
        <v>131</v>
      </c>
      <c r="E2" t="s">
        <v>13</v>
      </c>
      <c r="F2" t="s">
        <v>27</v>
      </c>
      <c r="G2" t="s">
        <v>28</v>
      </c>
      <c r="H2" t="s">
        <v>169</v>
      </c>
      <c r="I2" t="s">
        <v>170</v>
      </c>
      <c r="J2" s="29" t="s">
        <v>182</v>
      </c>
      <c r="K2" t="s">
        <v>19</v>
      </c>
      <c r="L2" t="s">
        <v>30</v>
      </c>
      <c r="M2" t="s">
        <v>109</v>
      </c>
    </row>
    <row r="3" spans="1:13" x14ac:dyDescent="0.25">
      <c r="A3" t="s">
        <v>187</v>
      </c>
      <c r="B3" t="s">
        <v>162</v>
      </c>
      <c r="C3" s="4" t="s">
        <v>132</v>
      </c>
      <c r="D3" t="s">
        <v>131</v>
      </c>
      <c r="E3" t="s">
        <v>13</v>
      </c>
      <c r="F3" t="s">
        <v>32</v>
      </c>
      <c r="G3" t="s">
        <v>147</v>
      </c>
      <c r="H3" t="s">
        <v>171</v>
      </c>
      <c r="I3" t="s">
        <v>20</v>
      </c>
      <c r="J3" s="29" t="s">
        <v>83</v>
      </c>
      <c r="K3" t="s">
        <v>19</v>
      </c>
      <c r="L3" t="s">
        <v>29</v>
      </c>
    </row>
    <row r="4" spans="1:13" x14ac:dyDescent="0.25">
      <c r="A4" t="s">
        <v>188</v>
      </c>
      <c r="B4" t="s">
        <v>163</v>
      </c>
      <c r="C4" s="4" t="s">
        <v>132</v>
      </c>
      <c r="D4" t="s">
        <v>131</v>
      </c>
      <c r="E4" t="s">
        <v>13</v>
      </c>
      <c r="F4" t="s">
        <v>32</v>
      </c>
      <c r="G4" t="s">
        <v>147</v>
      </c>
      <c r="H4" t="s">
        <v>171</v>
      </c>
      <c r="I4" t="s">
        <v>20</v>
      </c>
      <c r="J4" s="29" t="s">
        <v>83</v>
      </c>
      <c r="K4" t="s">
        <v>19</v>
      </c>
      <c r="L4" t="s">
        <v>29</v>
      </c>
    </row>
    <row r="5" spans="1:13" x14ac:dyDescent="0.25">
      <c r="A5" t="s">
        <v>189</v>
      </c>
      <c r="B5" t="s">
        <v>164</v>
      </c>
      <c r="C5" s="4" t="s">
        <v>132</v>
      </c>
      <c r="D5" t="s">
        <v>131</v>
      </c>
      <c r="E5" t="s">
        <v>13</v>
      </c>
      <c r="F5" t="s">
        <v>27</v>
      </c>
      <c r="G5" t="s">
        <v>28</v>
      </c>
      <c r="H5" t="s">
        <v>172</v>
      </c>
      <c r="I5" t="s">
        <v>20</v>
      </c>
      <c r="J5" s="29" t="s">
        <v>181</v>
      </c>
      <c r="K5" t="s">
        <v>19</v>
      </c>
      <c r="L5" t="s">
        <v>29</v>
      </c>
      <c r="M5" t="s">
        <v>109</v>
      </c>
    </row>
    <row r="6" spans="1:13" x14ac:dyDescent="0.25">
      <c r="A6" t="s">
        <v>190</v>
      </c>
      <c r="B6" t="s">
        <v>165</v>
      </c>
      <c r="C6" s="4" t="s">
        <v>132</v>
      </c>
      <c r="D6" t="s">
        <v>131</v>
      </c>
      <c r="E6" t="s">
        <v>13</v>
      </c>
      <c r="F6" t="s">
        <v>27</v>
      </c>
      <c r="G6" t="s">
        <v>28</v>
      </c>
      <c r="H6" t="s">
        <v>173</v>
      </c>
      <c r="I6" t="s">
        <v>174</v>
      </c>
      <c r="J6" s="29" t="s">
        <v>183</v>
      </c>
      <c r="K6" t="s">
        <v>19</v>
      </c>
      <c r="L6" t="s">
        <v>30</v>
      </c>
      <c r="M6" t="s">
        <v>109</v>
      </c>
    </row>
    <row r="7" spans="1:13" x14ac:dyDescent="0.25">
      <c r="A7" t="s">
        <v>191</v>
      </c>
      <c r="B7" t="s">
        <v>166</v>
      </c>
      <c r="C7" s="4" t="s">
        <v>132</v>
      </c>
      <c r="D7" t="s">
        <v>131</v>
      </c>
      <c r="E7" t="s">
        <v>13</v>
      </c>
      <c r="F7" t="s">
        <v>27</v>
      </c>
      <c r="G7" t="s">
        <v>28</v>
      </c>
      <c r="H7" t="s">
        <v>175</v>
      </c>
      <c r="I7" t="s">
        <v>176</v>
      </c>
      <c r="J7" s="29" t="s">
        <v>180</v>
      </c>
      <c r="K7" t="s">
        <v>19</v>
      </c>
      <c r="L7" t="s">
        <v>30</v>
      </c>
      <c r="M7" t="s">
        <v>109</v>
      </c>
    </row>
    <row r="8" spans="1:13" x14ac:dyDescent="0.25">
      <c r="A8" t="s">
        <v>192</v>
      </c>
      <c r="B8" t="s">
        <v>167</v>
      </c>
      <c r="C8" s="4" t="s">
        <v>132</v>
      </c>
      <c r="D8" t="s">
        <v>131</v>
      </c>
      <c r="E8" t="s">
        <v>13</v>
      </c>
      <c r="F8" t="s">
        <v>24</v>
      </c>
      <c r="G8" t="s">
        <v>84</v>
      </c>
      <c r="H8" t="s">
        <v>177</v>
      </c>
      <c r="I8" t="s">
        <v>178</v>
      </c>
      <c r="J8" s="29" t="s">
        <v>184</v>
      </c>
      <c r="K8" t="s">
        <v>19</v>
      </c>
      <c r="L8" t="s">
        <v>30</v>
      </c>
      <c r="M8" t="s">
        <v>109</v>
      </c>
    </row>
    <row r="9" spans="1:13" x14ac:dyDescent="0.25">
      <c r="A9" t="s">
        <v>193</v>
      </c>
      <c r="B9" t="s">
        <v>168</v>
      </c>
      <c r="C9" s="4" t="s">
        <v>132</v>
      </c>
      <c r="D9" t="s">
        <v>131</v>
      </c>
      <c r="E9" t="s">
        <v>13</v>
      </c>
      <c r="F9" t="s">
        <v>27</v>
      </c>
      <c r="G9" t="s">
        <v>28</v>
      </c>
      <c r="H9" t="s">
        <v>179</v>
      </c>
      <c r="I9" t="s">
        <v>20</v>
      </c>
      <c r="J9" s="29" t="s">
        <v>185</v>
      </c>
      <c r="K9" t="s">
        <v>19</v>
      </c>
      <c r="L9" t="s">
        <v>29</v>
      </c>
      <c r="M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References</vt:lpstr>
      <vt:lpstr>custom</vt:lpstr>
      <vt:lpstr>Bench10</vt:lpstr>
      <vt:lpstr>Bench10_A15_23_03_2026</vt:lpstr>
      <vt:lpstr>Bench10_A15_26_03_2026</vt:lpstr>
      <vt:lpstr>Sheet2</vt:lpstr>
      <vt:lpstr>Sheet3</vt:lpstr>
      <vt:lpstr>Sheet4</vt:lpstr>
      <vt:lpstr>Human_Error</vt:lpstr>
      <vt:lpstr>ICB_Issue_Always</vt:lpstr>
      <vt:lpstr>ICB_Issue_Once</vt:lpstr>
      <vt:lpstr>KITE_Issue</vt:lpstr>
      <vt:lpstr>Test_Env_Issue</vt:lpstr>
      <vt:lpstr>TS_Issue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2026-03-28T01:59:12Z</dcterms:modified>
</cp:coreProperties>
</file>