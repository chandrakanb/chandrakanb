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Budget\"/>
    </mc:Choice>
  </mc:AlternateContent>
  <xr:revisionPtr revIDLastSave="0" documentId="13_ncr:1_{F1298BF5-3919-4689-9B7F-908FAD38A261}" xr6:coauthVersionLast="47" xr6:coauthVersionMax="47" xr10:uidLastSave="{00000000-0000-0000-0000-000000000000}"/>
  <bookViews>
    <workbookView xWindow="-108" yWindow="-108" windowWidth="23256" windowHeight="12456" xr2:uid="{823CB61F-CAD6-4046-9DE0-3D878213C909}"/>
  </bookViews>
  <sheets>
    <sheet name="Summary" sheetId="1" r:id="rId1"/>
    <sheet name="Amount Payable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V3" i="2"/>
  <c r="S3" i="2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B43" i="1"/>
  <c r="B45" i="1" s="1"/>
  <c r="C36" i="1"/>
  <c r="E36" i="1" s="1"/>
  <c r="E35" i="1"/>
  <c r="F35" i="1" s="1"/>
  <c r="B36" i="1"/>
  <c r="B29" i="1"/>
  <c r="B20" i="1"/>
  <c r="B21" i="1" s="1"/>
  <c r="B23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B4" i="1"/>
  <c r="B10" i="1"/>
  <c r="B30" i="1" l="1"/>
  <c r="B14" i="1"/>
</calcChain>
</file>

<file path=xl/sharedStrings.xml><?xml version="1.0" encoding="utf-8"?>
<sst xmlns="http://schemas.openxmlformats.org/spreadsheetml/2006/main" count="59" uniqueCount="34">
  <si>
    <t>Loan Amount (after deductions)</t>
  </si>
  <si>
    <t>HDFC Balance</t>
  </si>
  <si>
    <t>BOM Balance</t>
  </si>
  <si>
    <t>CBI Balance</t>
  </si>
  <si>
    <t>Total Balance</t>
  </si>
  <si>
    <t>Vitthal Amount</t>
  </si>
  <si>
    <t>Total Amount</t>
  </si>
  <si>
    <t>Month</t>
  </si>
  <si>
    <t>Sr. No.</t>
  </si>
  <si>
    <t>RD Installment</t>
  </si>
  <si>
    <t>Total</t>
  </si>
  <si>
    <t>Installment</t>
  </si>
  <si>
    <t>Loan EMI Installment</t>
  </si>
  <si>
    <t>Status</t>
  </si>
  <si>
    <t>PG Rent(May)</t>
  </si>
  <si>
    <t>Balance</t>
  </si>
  <si>
    <t>Lajjita Flat Rent Paid</t>
  </si>
  <si>
    <t>Astha</t>
  </si>
  <si>
    <t>FD 1</t>
  </si>
  <si>
    <t>FD 2</t>
  </si>
  <si>
    <t>FD 3</t>
  </si>
  <si>
    <t>Remaining</t>
  </si>
  <si>
    <t xml:space="preserve">VHP </t>
  </si>
  <si>
    <t>Monthly Expenses</t>
  </si>
  <si>
    <t>RD 1</t>
  </si>
  <si>
    <t>RD 2</t>
  </si>
  <si>
    <t>Completed</t>
  </si>
  <si>
    <t xml:space="preserve">EMI </t>
  </si>
  <si>
    <t xml:space="preserve">Interest </t>
  </si>
  <si>
    <t xml:space="preserve">Principal </t>
  </si>
  <si>
    <t xml:space="preserve">Balance </t>
  </si>
  <si>
    <t>EMI</t>
  </si>
  <si>
    <t>PG Rent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</si>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</sst>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7" formatCode="[$-F800]dddd\,\ mmmm\ dd\,\ yyyy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8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3" fontId="0" fillId="0" borderId="0" xfId="0" applyNumberFormat="1"/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14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64" fontId="0" fillId="0" borderId="16" xfId="0" applyNumberForma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3" fontId="0" fillId="0" borderId="6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3" fontId="0" fillId="0" borderId="7" xfId="0" applyNumberFormat="1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3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0" xfId="0" applyFont="1"/>
    <xf numFmtId="3" fontId="2" fillId="0" borderId="0" xfId="0" applyNumberFormat="1" applyFont="1"/>
    <xf numFmtId="167" fontId="0" fillId="0" borderId="0" xfId="0" applyNumberFormat="1" applyAlignment="1">
      <alignment horizontal="center"/>
    </xf>
    <xf numFmtId="0" fontId="2" fillId="0" borderId="2" xfId="0" applyFont="1" applyBorder="1"/>
    <xf numFmtId="2" fontId="0" fillId="0" borderId="0" xfId="0" applyNumberFormat="1"/>
    <xf numFmtId="15" fontId="8" fillId="0" borderId="0" xfId="0" applyNumberFormat="1" applyFont="1"/>
    <xf numFmtId="4" fontId="0" fillId="0" borderId="0" xfId="0" applyNumberFormat="1"/>
    <xf numFmtId="0" fontId="2" fillId="0" borderId="8" xfId="0" applyFont="1" applyBorder="1"/>
    <xf numFmtId="0" fontId="0" fillId="0" borderId="10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164" fontId="0" fillId="0" borderId="30" xfId="0" applyNumberFormat="1" applyBorder="1" applyAlignment="1">
      <alignment horizontal="center" vertical="center" wrapText="1"/>
    </xf>
    <xf numFmtId="4" fontId="0" fillId="0" borderId="18" xfId="0" applyNumberFormat="1" applyBorder="1"/>
    <xf numFmtId="4" fontId="0" fillId="0" borderId="19" xfId="0" applyNumberFormat="1" applyBorder="1"/>
    <xf numFmtId="4" fontId="0" fillId="0" borderId="30" xfId="0" applyNumberFormat="1" applyBorder="1"/>
    <xf numFmtId="0" fontId="0" fillId="0" borderId="27" xfId="0" applyBorder="1"/>
    <xf numFmtId="0" fontId="0" fillId="0" borderId="18" xfId="0" applyBorder="1"/>
    <xf numFmtId="0" fontId="0" fillId="0" borderId="19" xfId="0" applyBorder="1"/>
    <xf numFmtId="0" fontId="2" fillId="4" borderId="17" xfId="0" applyFont="1" applyFill="1" applyBorder="1" applyAlignment="1">
      <alignment horizontal="center" vertical="center" wrapText="1"/>
    </xf>
    <xf numFmtId="164" fontId="0" fillId="4" borderId="30" xfId="0" applyNumberFormat="1" applyFill="1" applyBorder="1" applyAlignment="1">
      <alignment horizontal="center" vertical="center" wrapText="1"/>
    </xf>
    <xf numFmtId="4" fontId="0" fillId="4" borderId="27" xfId="0" applyNumberFormat="1" applyFill="1" applyBorder="1"/>
    <xf numFmtId="4" fontId="0" fillId="4" borderId="31" xfId="0" applyNumberFormat="1" applyFill="1" applyBorder="1"/>
    <xf numFmtId="0" fontId="0" fillId="4" borderId="27" xfId="0" applyFill="1" applyBorder="1"/>
    <xf numFmtId="164" fontId="2" fillId="5" borderId="2" xfId="0" applyNumberFormat="1" applyFont="1" applyFill="1" applyBorder="1" applyAlignment="1">
      <alignment horizontal="center" vertical="center"/>
    </xf>
    <xf numFmtId="164" fontId="2" fillId="5" borderId="13" xfId="0" applyNumberFormat="1" applyFont="1" applyFill="1" applyBorder="1" applyAlignment="1">
      <alignment horizontal="center" vertical="center"/>
    </xf>
    <xf numFmtId="164" fontId="2" fillId="5" borderId="11" xfId="0" applyNumberFormat="1" applyFont="1" applyFill="1" applyBorder="1" applyAlignment="1">
      <alignment horizontal="center" vertical="center"/>
    </xf>
    <xf numFmtId="164" fontId="2" fillId="5" borderId="12" xfId="0" applyNumberFormat="1" applyFont="1" applyFill="1" applyBorder="1" applyAlignment="1">
      <alignment horizontal="center" vertical="center"/>
    </xf>
    <xf numFmtId="164" fontId="4" fillId="6" borderId="21" xfId="0" applyNumberFormat="1" applyFont="1" applyFill="1" applyBorder="1" applyAlignment="1">
      <alignment horizontal="center"/>
    </xf>
    <xf numFmtId="164" fontId="4" fillId="6" borderId="28" xfId="0" applyNumberFormat="1" applyFont="1" applyFill="1" applyBorder="1" applyAlignment="1">
      <alignment horizontal="center"/>
    </xf>
    <xf numFmtId="164" fontId="4" fillId="6" borderId="22" xfId="0" applyNumberFormat="1" applyFont="1" applyFill="1" applyBorder="1" applyAlignment="1">
      <alignment horizontal="center"/>
    </xf>
    <xf numFmtId="164" fontId="2" fillId="5" borderId="23" xfId="0" applyNumberFormat="1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 wrapText="1"/>
    </xf>
    <xf numFmtId="0" fontId="0" fillId="0" borderId="31" xfId="0" applyBorder="1"/>
    <xf numFmtId="0" fontId="0" fillId="0" borderId="30" xfId="0" applyBorder="1"/>
    <xf numFmtId="0" fontId="0" fillId="0" borderId="3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64" fontId="4" fillId="6" borderId="20" xfId="0" applyNumberFormat="1" applyFont="1" applyFill="1" applyBorder="1" applyAlignment="1">
      <alignment horizontal="center"/>
    </xf>
    <xf numFmtId="164" fontId="4" fillId="6" borderId="29" xfId="0" applyNumberFormat="1" applyFon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/>
    <xf numFmtId="0" fontId="2" fillId="0" borderId="40" xfId="0" applyFont="1" applyBorder="1"/>
    <xf numFmtId="3" fontId="2" fillId="0" borderId="36" xfId="0" applyNumberFormat="1" applyFont="1" applyBorder="1"/>
    <xf numFmtId="3" fontId="2" fillId="0" borderId="41" xfId="0" applyNumberFormat="1" applyFont="1" applyBorder="1"/>
    <xf numFmtId="0" fontId="3" fillId="2" borderId="42" xfId="0" applyFont="1" applyFill="1" applyBorder="1"/>
    <xf numFmtId="0" fontId="3" fillId="2" borderId="39" xfId="0" applyFont="1" applyFill="1" applyBorder="1"/>
    <xf numFmtId="0" fontId="3" fillId="2" borderId="44" xfId="0" applyFont="1" applyFill="1" applyBorder="1"/>
    <xf numFmtId="0" fontId="3" fillId="2" borderId="41" xfId="0" applyFont="1" applyFill="1" applyBorder="1"/>
    <xf numFmtId="0" fontId="7" fillId="3" borderId="40" xfId="0" applyFont="1" applyFill="1" applyBorder="1"/>
    <xf numFmtId="0" fontId="7" fillId="3" borderId="36" xfId="0" applyFont="1" applyFill="1" applyBorder="1"/>
    <xf numFmtId="0" fontId="5" fillId="0" borderId="40" xfId="0" applyFont="1" applyBorder="1"/>
    <xf numFmtId="0" fontId="6" fillId="0" borderId="36" xfId="0" applyFont="1" applyBorder="1"/>
    <xf numFmtId="0" fontId="2" fillId="0" borderId="51" xfId="0" applyFont="1" applyBorder="1"/>
    <xf numFmtId="0" fontId="2" fillId="0" borderId="52" xfId="0" applyFont="1" applyBorder="1"/>
    <xf numFmtId="0" fontId="2" fillId="0" borderId="53" xfId="0" applyFont="1" applyBorder="1"/>
    <xf numFmtId="3" fontId="0" fillId="0" borderId="46" xfId="0" applyNumberFormat="1" applyBorder="1" applyAlignment="1">
      <alignment vertical="center" wrapText="1"/>
    </xf>
    <xf numFmtId="0" fontId="0" fillId="0" borderId="47" xfId="0" applyBorder="1"/>
    <xf numFmtId="0" fontId="0" fillId="0" borderId="48" xfId="0" applyBorder="1"/>
    <xf numFmtId="0" fontId="0" fillId="0" borderId="50" xfId="0" applyBorder="1"/>
    <xf numFmtId="2" fontId="2" fillId="8" borderId="46" xfId="0" applyNumberFormat="1" applyFont="1" applyFill="1" applyBorder="1"/>
    <xf numFmtId="2" fontId="2" fillId="8" borderId="47" xfId="0" applyNumberFormat="1" applyFont="1" applyFill="1" applyBorder="1"/>
    <xf numFmtId="2" fontId="2" fillId="8" borderId="48" xfId="0" applyNumberFormat="1" applyFont="1" applyFill="1" applyBorder="1"/>
    <xf numFmtId="2" fontId="2" fillId="8" borderId="50" xfId="0" applyNumberFormat="1" applyFont="1" applyFill="1" applyBorder="1"/>
    <xf numFmtId="2" fontId="2" fillId="8" borderId="36" xfId="0" applyNumberFormat="1" applyFont="1" applyFill="1" applyBorder="1"/>
    <xf numFmtId="2" fontId="2" fillId="8" borderId="43" xfId="0" applyNumberFormat="1" applyFont="1" applyFill="1" applyBorder="1"/>
    <xf numFmtId="0" fontId="2" fillId="9" borderId="46" xfId="0" applyFont="1" applyFill="1" applyBorder="1"/>
    <xf numFmtId="0" fontId="2" fillId="9" borderId="47" xfId="0" applyFont="1" applyFill="1" applyBorder="1"/>
    <xf numFmtId="0" fontId="2" fillId="9" borderId="49" xfId="0" applyFont="1" applyFill="1" applyBorder="1"/>
    <xf numFmtId="0" fontId="2" fillId="9" borderId="36" xfId="0" applyFont="1" applyFill="1" applyBorder="1"/>
    <xf numFmtId="0" fontId="2" fillId="5" borderId="40" xfId="0" applyFont="1" applyFill="1" applyBorder="1"/>
    <xf numFmtId="0" fontId="2" fillId="5" borderId="36" xfId="0" applyFont="1" applyFill="1" applyBorder="1"/>
    <xf numFmtId="0" fontId="0" fillId="0" borderId="0" xfId="0" applyBorder="1" applyAlignment="1">
      <alignment horizontal="center" vertical="center"/>
    </xf>
    <xf numFmtId="164" fontId="2" fillId="7" borderId="45" xfId="0" applyNumberFormat="1" applyFont="1" applyFill="1" applyBorder="1" applyAlignment="1"/>
    <xf numFmtId="164" fontId="2" fillId="7" borderId="40" xfId="0" applyNumberFormat="1" applyFont="1" applyFill="1" applyBorder="1" applyAlignment="1"/>
    <xf numFmtId="164" fontId="2" fillId="7" borderId="36" xfId="0" applyNumberFormat="1" applyFont="1" applyFill="1" applyBorder="1" applyAlignment="1"/>
    <xf numFmtId="167" fontId="2" fillId="7" borderId="36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7975-F6DC-4821-97DE-17FAA10A5945}">
  <dimension ref="A2:F46"/>
  <sheetViews>
    <sheetView tabSelected="1" topLeftCell="A33" zoomScale="160" zoomScaleNormal="160" workbookViewId="0">
      <selection activeCell="E38" sqref="E38"/>
    </sheetView>
  </sheetViews>
  <sheetFormatPr defaultRowHeight="14.4" x14ac:dyDescent="0.3"/>
  <cols>
    <col min="1" max="1" width="27.33203125" bestFit="1" customWidth="1"/>
    <col min="2" max="2" width="11.88671875" customWidth="1"/>
    <col min="3" max="3" width="8.6640625" bestFit="1" customWidth="1"/>
  </cols>
  <sheetData>
    <row r="2" spans="1:6" x14ac:dyDescent="0.3">
      <c r="A2" s="4" t="s">
        <v>5</v>
      </c>
      <c r="B2" s="4">
        <v>37000</v>
      </c>
    </row>
    <row r="3" spans="1:6" x14ac:dyDescent="0.3">
      <c r="A3" s="4" t="s">
        <v>0</v>
      </c>
      <c r="B3" s="24">
        <v>48040</v>
      </c>
    </row>
    <row r="4" spans="1:6" x14ac:dyDescent="0.3">
      <c r="A4" s="4" t="s">
        <v>6</v>
      </c>
      <c r="B4" s="4">
        <f>SUM(B2:B3)</f>
        <v>85040</v>
      </c>
    </row>
    <row r="5" spans="1:6" x14ac:dyDescent="0.3">
      <c r="A5" s="4"/>
      <c r="B5" s="4"/>
    </row>
    <row r="6" spans="1:6" x14ac:dyDescent="0.3">
      <c r="A6" s="25">
        <v>45781</v>
      </c>
      <c r="B6" s="25"/>
    </row>
    <row r="7" spans="1:6" x14ac:dyDescent="0.3">
      <c r="A7" s="4" t="s">
        <v>3</v>
      </c>
      <c r="B7" s="4">
        <v>5242.95</v>
      </c>
      <c r="E7" t="s">
        <v>3</v>
      </c>
      <c r="F7">
        <v>5242.95</v>
      </c>
    </row>
    <row r="8" spans="1:6" x14ac:dyDescent="0.3">
      <c r="A8" s="4" t="s">
        <v>2</v>
      </c>
      <c r="B8" s="4">
        <v>17000</v>
      </c>
      <c r="E8" t="s">
        <v>2</v>
      </c>
      <c r="F8">
        <v>17000</v>
      </c>
    </row>
    <row r="9" spans="1:6" x14ac:dyDescent="0.3">
      <c r="A9" s="4" t="s">
        <v>1</v>
      </c>
      <c r="B9" s="4">
        <v>49921</v>
      </c>
      <c r="E9" t="s">
        <v>1</v>
      </c>
      <c r="F9">
        <v>49921</v>
      </c>
    </row>
    <row r="10" spans="1:6" x14ac:dyDescent="0.3">
      <c r="A10" s="4" t="s">
        <v>4</v>
      </c>
      <c r="B10" s="4">
        <f>SUM(B7:B9)</f>
        <v>72163.95</v>
      </c>
      <c r="E10" t="s">
        <v>4</v>
      </c>
      <c r="F10">
        <v>72163.95</v>
      </c>
    </row>
    <row r="12" spans="1:6" x14ac:dyDescent="0.3">
      <c r="A12" s="4" t="s">
        <v>14</v>
      </c>
      <c r="B12" s="4">
        <v>6500</v>
      </c>
    </row>
    <row r="14" spans="1:6" x14ac:dyDescent="0.3">
      <c r="A14" t="s">
        <v>15</v>
      </c>
      <c r="B14">
        <f>B10-B2-B12</f>
        <v>28663.949999999997</v>
      </c>
    </row>
    <row r="15" spans="1:6" x14ac:dyDescent="0.3">
      <c r="A15" t="s">
        <v>5</v>
      </c>
      <c r="B15">
        <v>37000</v>
      </c>
    </row>
    <row r="16" spans="1:6" x14ac:dyDescent="0.3">
      <c r="A16" t="s">
        <v>0</v>
      </c>
      <c r="B16" s="1">
        <v>48040</v>
      </c>
    </row>
    <row r="18" spans="1:4" x14ac:dyDescent="0.3">
      <c r="A18" s="4" t="s">
        <v>16</v>
      </c>
      <c r="B18" s="4">
        <v>30000</v>
      </c>
    </row>
    <row r="19" spans="1:4" x14ac:dyDescent="0.3">
      <c r="A19" s="4" t="s">
        <v>17</v>
      </c>
      <c r="B19" s="24">
        <v>5000</v>
      </c>
    </row>
    <row r="20" spans="1:4" x14ac:dyDescent="0.3">
      <c r="A20" s="4"/>
      <c r="B20" s="24">
        <f>B18-B19</f>
        <v>25000</v>
      </c>
    </row>
    <row r="21" spans="1:4" x14ac:dyDescent="0.3">
      <c r="B21" s="1">
        <f>B16-B20</f>
        <v>23040</v>
      </c>
    </row>
    <row r="23" spans="1:4" x14ac:dyDescent="0.3">
      <c r="B23" s="1">
        <f>B21+B2</f>
        <v>60040</v>
      </c>
    </row>
    <row r="24" spans="1:4" ht="15" thickBot="1" x14ac:dyDescent="0.35"/>
    <row r="25" spans="1:4" ht="15" thickTop="1" x14ac:dyDescent="0.3">
      <c r="A25" s="75" t="s">
        <v>18</v>
      </c>
      <c r="B25" s="77">
        <v>25000</v>
      </c>
      <c r="C25" s="102" t="s">
        <v>22</v>
      </c>
    </row>
    <row r="26" spans="1:4" ht="15" thickBot="1" x14ac:dyDescent="0.35">
      <c r="A26" s="76" t="s">
        <v>19</v>
      </c>
      <c r="B26" s="78">
        <v>12000</v>
      </c>
      <c r="C26" s="102"/>
    </row>
    <row r="27" spans="1:4" ht="15.6" thickTop="1" thickBot="1" x14ac:dyDescent="0.35">
      <c r="A27" s="79" t="s">
        <v>25</v>
      </c>
      <c r="B27" s="80">
        <v>10000</v>
      </c>
      <c r="C27">
        <v>25000</v>
      </c>
      <c r="D27">
        <v>5000</v>
      </c>
    </row>
    <row r="28" spans="1:4" ht="15.6" thickTop="1" thickBot="1" x14ac:dyDescent="0.35">
      <c r="A28" s="81" t="s">
        <v>20</v>
      </c>
      <c r="B28" s="82">
        <v>12000</v>
      </c>
    </row>
    <row r="29" spans="1:4" ht="15.6" thickTop="1" thickBot="1" x14ac:dyDescent="0.35">
      <c r="A29" s="100" t="s">
        <v>10</v>
      </c>
      <c r="B29" s="101">
        <f>SUM(B25:B28)</f>
        <v>59000</v>
      </c>
    </row>
    <row r="30" spans="1:4" ht="15" thickTop="1" x14ac:dyDescent="0.3">
      <c r="A30" s="23" t="s">
        <v>21</v>
      </c>
      <c r="B30" s="23">
        <f>B10-B12-B29</f>
        <v>6663.9499999999971</v>
      </c>
    </row>
    <row r="31" spans="1:4" ht="15" thickBot="1" x14ac:dyDescent="0.35">
      <c r="A31" s="89"/>
    </row>
    <row r="32" spans="1:4" ht="15.6" thickTop="1" thickBot="1" x14ac:dyDescent="0.35">
      <c r="A32" s="106"/>
      <c r="B32" s="103">
        <v>45781</v>
      </c>
      <c r="C32" s="104">
        <v>45784</v>
      </c>
      <c r="D32" s="105"/>
    </row>
    <row r="33" spans="1:6" ht="15" thickTop="1" x14ac:dyDescent="0.3">
      <c r="A33" s="96" t="s">
        <v>3</v>
      </c>
      <c r="B33" s="90">
        <v>5242.95</v>
      </c>
      <c r="C33" s="90">
        <v>4125.05</v>
      </c>
      <c r="D33" s="90">
        <v>2000</v>
      </c>
    </row>
    <row r="34" spans="1:6" x14ac:dyDescent="0.3">
      <c r="A34" s="97" t="s">
        <v>2</v>
      </c>
      <c r="B34" s="91">
        <v>17000</v>
      </c>
      <c r="C34" s="91">
        <v>17000</v>
      </c>
      <c r="D34" s="91">
        <v>12000</v>
      </c>
    </row>
    <row r="35" spans="1:6" ht="15" thickBot="1" x14ac:dyDescent="0.35">
      <c r="A35" s="98" t="s">
        <v>1</v>
      </c>
      <c r="B35" s="92">
        <v>49921</v>
      </c>
      <c r="C35" s="92">
        <v>17322.099999999999</v>
      </c>
      <c r="D35" s="92">
        <v>2000</v>
      </c>
      <c r="E35">
        <f>B35-B25-B12</f>
        <v>18421</v>
      </c>
      <c r="F35" s="27">
        <f>E35-C35</f>
        <v>1098.9000000000015</v>
      </c>
    </row>
    <row r="36" spans="1:6" ht="15.6" thickTop="1" thickBot="1" x14ac:dyDescent="0.35">
      <c r="A36" s="99" t="s">
        <v>4</v>
      </c>
      <c r="B36" s="93">
        <f>SUM(B33:B35)</f>
        <v>72163.95</v>
      </c>
      <c r="C36" s="94">
        <f>SUM(C33:C35)</f>
        <v>38447.149999999994</v>
      </c>
      <c r="D36" s="95">
        <f>SUM(D33:D35)</f>
        <v>16000</v>
      </c>
      <c r="E36">
        <f>C36-B26-B27-B28</f>
        <v>4447.1499999999942</v>
      </c>
    </row>
    <row r="37" spans="1:6" ht="15.6" thickTop="1" thickBot="1" x14ac:dyDescent="0.35"/>
    <row r="38" spans="1:6" ht="15.6" thickTop="1" thickBot="1" x14ac:dyDescent="0.35">
      <c r="A38" s="69" t="s">
        <v>23</v>
      </c>
      <c r="B38" s="70"/>
    </row>
    <row r="39" spans="1:6" ht="15" thickTop="1" x14ac:dyDescent="0.3">
      <c r="A39" s="83" t="s">
        <v>31</v>
      </c>
      <c r="B39" s="86">
        <v>4680</v>
      </c>
    </row>
    <row r="40" spans="1:6" x14ac:dyDescent="0.3">
      <c r="A40" s="84" t="s">
        <v>24</v>
      </c>
      <c r="B40" s="87">
        <v>1000</v>
      </c>
    </row>
    <row r="41" spans="1:6" x14ac:dyDescent="0.3">
      <c r="A41" s="84" t="s">
        <v>25</v>
      </c>
      <c r="B41" s="87">
        <v>10000</v>
      </c>
    </row>
    <row r="42" spans="1:6" ht="15" thickBot="1" x14ac:dyDescent="0.35">
      <c r="A42" s="85" t="s">
        <v>32</v>
      </c>
      <c r="B42" s="88">
        <v>6500</v>
      </c>
    </row>
    <row r="43" spans="1:6" ht="15.6" thickTop="1" thickBot="1" x14ac:dyDescent="0.35">
      <c r="A43" s="72" t="s">
        <v>10</v>
      </c>
      <c r="B43" s="73">
        <f>SUM(B39:B42)</f>
        <v>22180</v>
      </c>
    </row>
    <row r="44" spans="1:6" ht="15.6" thickTop="1" thickBot="1" x14ac:dyDescent="0.35">
      <c r="A44" s="72" t="s">
        <v>33</v>
      </c>
      <c r="B44" s="73">
        <v>28820</v>
      </c>
      <c r="F44" s="1"/>
    </row>
    <row r="45" spans="1:6" ht="15.6" thickTop="1" thickBot="1" x14ac:dyDescent="0.35">
      <c r="A45" s="71" t="s">
        <v>15</v>
      </c>
      <c r="B45" s="74">
        <f>B44-B43</f>
        <v>6640</v>
      </c>
    </row>
    <row r="46" spans="1:6" ht="15" thickTop="1" x14ac:dyDescent="0.3"/>
  </sheetData>
  <mergeCells count="3">
    <mergeCell ref="A6:B6"/>
    <mergeCell ref="C25:C26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6A5B-A491-4FD2-8099-49B7D377621E}">
  <dimension ref="B1:V104"/>
  <sheetViews>
    <sheetView workbookViewId="0">
      <selection activeCell="P21" sqref="P21"/>
    </sheetView>
  </sheetViews>
  <sheetFormatPr defaultColWidth="40.5546875" defaultRowHeight="14.4" x14ac:dyDescent="0.3"/>
  <cols>
    <col min="1" max="1" width="3.5546875" customWidth="1"/>
    <col min="2" max="2" width="6.5546875" style="5" bestFit="1" customWidth="1"/>
    <col min="3" max="3" width="8.5546875" bestFit="1" customWidth="1"/>
    <col min="4" max="4" width="5.5546875" bestFit="1" customWidth="1"/>
    <col min="5" max="5" width="7.77734375" bestFit="1" customWidth="1"/>
    <col min="6" max="6" width="8.88671875" bestFit="1" customWidth="1"/>
    <col min="7" max="7" width="8" bestFit="1" customWidth="1"/>
    <col min="8" max="8" width="6.33203125" bestFit="1" customWidth="1"/>
    <col min="9" max="9" width="3.5546875" customWidth="1"/>
    <col min="10" max="10" width="6.5546875" bestFit="1" customWidth="1"/>
    <col min="11" max="11" width="9.5546875" bestFit="1" customWidth="1"/>
    <col min="12" max="12" width="10.5546875" bestFit="1" customWidth="1"/>
    <col min="13" max="13" width="7" bestFit="1" customWidth="1"/>
    <col min="14" max="14" width="6.33203125" bestFit="1" customWidth="1"/>
    <col min="15" max="15" width="3.5546875" customWidth="1"/>
    <col min="16" max="16" width="6.5546875" bestFit="1" customWidth="1"/>
    <col min="17" max="17" width="9.5546875" bestFit="1" customWidth="1"/>
    <col min="18" max="18" width="10.5546875" bestFit="1" customWidth="1"/>
    <col min="19" max="19" width="10.109375" bestFit="1" customWidth="1"/>
    <col min="20" max="20" width="9.77734375" bestFit="1" customWidth="1"/>
    <col min="21" max="21" width="3.5546875" customWidth="1"/>
  </cols>
  <sheetData>
    <row r="1" spans="2:22" ht="15" thickBot="1" x14ac:dyDescent="0.35">
      <c r="B1" s="67" t="s">
        <v>12</v>
      </c>
      <c r="C1" s="68"/>
      <c r="D1" s="68"/>
      <c r="E1" s="68"/>
      <c r="F1" s="68"/>
      <c r="G1" s="68"/>
      <c r="H1" s="68"/>
      <c r="J1" s="51" t="s">
        <v>9</v>
      </c>
      <c r="K1" s="52"/>
      <c r="L1" s="52"/>
      <c r="M1" s="52"/>
      <c r="N1" s="53"/>
      <c r="P1" s="51" t="s">
        <v>9</v>
      </c>
      <c r="Q1" s="52"/>
      <c r="R1" s="52"/>
      <c r="S1" s="52"/>
      <c r="T1" s="53"/>
    </row>
    <row r="2" spans="2:22" ht="15" thickBot="1" x14ac:dyDescent="0.35">
      <c r="B2" s="54" t="s">
        <v>8</v>
      </c>
      <c r="C2" s="49" t="s">
        <v>7</v>
      </c>
      <c r="D2" s="49" t="s">
        <v>27</v>
      </c>
      <c r="E2" s="49" t="s">
        <v>28</v>
      </c>
      <c r="F2" s="49" t="s">
        <v>29</v>
      </c>
      <c r="G2" s="49" t="s">
        <v>30</v>
      </c>
      <c r="H2" s="50" t="s">
        <v>13</v>
      </c>
      <c r="J2" s="54" t="s">
        <v>8</v>
      </c>
      <c r="K2" s="49" t="s">
        <v>7</v>
      </c>
      <c r="L2" s="49" t="s">
        <v>11</v>
      </c>
      <c r="M2" s="49" t="s">
        <v>10</v>
      </c>
      <c r="N2" s="50" t="s">
        <v>13</v>
      </c>
      <c r="P2" s="47" t="s">
        <v>8</v>
      </c>
      <c r="Q2" s="48" t="s">
        <v>7</v>
      </c>
      <c r="R2" s="49" t="s">
        <v>11</v>
      </c>
      <c r="S2" s="49" t="s">
        <v>10</v>
      </c>
      <c r="T2" s="50" t="s">
        <v>13</v>
      </c>
    </row>
    <row r="3" spans="2:22" x14ac:dyDescent="0.3">
      <c r="B3" s="13">
        <v>1</v>
      </c>
      <c r="C3" s="10">
        <v>45815</v>
      </c>
      <c r="D3" s="16">
        <v>4680</v>
      </c>
      <c r="E3" s="17">
        <v>917</v>
      </c>
      <c r="F3" s="16">
        <v>3763</v>
      </c>
      <c r="G3" s="16">
        <v>46237</v>
      </c>
      <c r="H3" s="18"/>
      <c r="J3" s="55">
        <v>20</v>
      </c>
      <c r="K3" s="58">
        <v>45787</v>
      </c>
      <c r="L3" s="61">
        <v>1000</v>
      </c>
      <c r="M3" s="39">
        <v>19000</v>
      </c>
      <c r="N3" s="64"/>
      <c r="P3" s="42">
        <v>1</v>
      </c>
      <c r="Q3" s="43">
        <v>45784</v>
      </c>
      <c r="R3" s="44">
        <v>10000</v>
      </c>
      <c r="S3" s="45">
        <f>R3</f>
        <v>10000</v>
      </c>
      <c r="T3" s="46" t="s">
        <v>26</v>
      </c>
      <c r="U3" s="28"/>
      <c r="V3" s="29">
        <f>R3+L3+D3</f>
        <v>15680</v>
      </c>
    </row>
    <row r="4" spans="2:22" x14ac:dyDescent="0.3">
      <c r="B4" s="14">
        <v>2</v>
      </c>
      <c r="C4" s="11">
        <v>45845</v>
      </c>
      <c r="D4" s="2">
        <v>4680</v>
      </c>
      <c r="E4" s="3">
        <v>846</v>
      </c>
      <c r="F4" s="2">
        <v>3834</v>
      </c>
      <c r="G4" s="2">
        <v>42403</v>
      </c>
      <c r="H4" s="19"/>
      <c r="J4" s="56">
        <v>21</v>
      </c>
      <c r="K4" s="59">
        <v>45818</v>
      </c>
      <c r="L4" s="62">
        <v>1000</v>
      </c>
      <c r="M4" s="40">
        <f t="shared" ref="M4:M35" si="0">M3+L4</f>
        <v>20000</v>
      </c>
      <c r="N4" s="65"/>
      <c r="P4" s="14">
        <v>2</v>
      </c>
      <c r="Q4" s="35">
        <v>45815</v>
      </c>
      <c r="R4" s="36">
        <v>10000</v>
      </c>
      <c r="S4" s="38">
        <f>S3+R4</f>
        <v>20000</v>
      </c>
      <c r="T4" s="40"/>
    </row>
    <row r="5" spans="2:22" x14ac:dyDescent="0.3">
      <c r="B5" s="14">
        <v>3</v>
      </c>
      <c r="C5" s="11">
        <v>45876</v>
      </c>
      <c r="D5" s="2">
        <v>4680</v>
      </c>
      <c r="E5" s="3">
        <v>774</v>
      </c>
      <c r="F5" s="2">
        <v>3906</v>
      </c>
      <c r="G5" s="2">
        <v>38497</v>
      </c>
      <c r="H5" s="19"/>
      <c r="J5" s="56">
        <v>22</v>
      </c>
      <c r="K5" s="59">
        <v>45848</v>
      </c>
      <c r="L5" s="62">
        <v>1000</v>
      </c>
      <c r="M5" s="40">
        <f t="shared" si="0"/>
        <v>21000</v>
      </c>
      <c r="N5" s="65"/>
      <c r="P5" s="14">
        <v>3</v>
      </c>
      <c r="Q5" s="35">
        <v>45845</v>
      </c>
      <c r="R5" s="36">
        <v>10000</v>
      </c>
      <c r="S5" s="38">
        <f t="shared" ref="S5:S17" si="1">S4+R5</f>
        <v>30000</v>
      </c>
      <c r="T5" s="40"/>
    </row>
    <row r="6" spans="2:22" x14ac:dyDescent="0.3">
      <c r="B6" s="14">
        <v>4</v>
      </c>
      <c r="C6" s="11">
        <v>45907</v>
      </c>
      <c r="D6" s="2">
        <v>4680</v>
      </c>
      <c r="E6" s="3">
        <v>702</v>
      </c>
      <c r="F6" s="2">
        <v>3978</v>
      </c>
      <c r="G6" s="2">
        <v>34519</v>
      </c>
      <c r="H6" s="19"/>
      <c r="J6" s="56">
        <v>23</v>
      </c>
      <c r="K6" s="59">
        <v>45879</v>
      </c>
      <c r="L6" s="62">
        <v>1000</v>
      </c>
      <c r="M6" s="40">
        <f t="shared" si="0"/>
        <v>22000</v>
      </c>
      <c r="N6" s="65"/>
      <c r="P6" s="13">
        <v>4</v>
      </c>
      <c r="Q6" s="35">
        <v>45876</v>
      </c>
      <c r="R6" s="36">
        <v>10000</v>
      </c>
      <c r="S6" s="38">
        <f t="shared" si="1"/>
        <v>40000</v>
      </c>
      <c r="T6" s="40"/>
    </row>
    <row r="7" spans="2:22" x14ac:dyDescent="0.3">
      <c r="B7" s="14">
        <v>5</v>
      </c>
      <c r="C7" s="11">
        <v>45937</v>
      </c>
      <c r="D7" s="2">
        <v>4680</v>
      </c>
      <c r="E7" s="3">
        <v>631</v>
      </c>
      <c r="F7" s="2">
        <v>4049</v>
      </c>
      <c r="G7" s="2">
        <v>30470</v>
      </c>
      <c r="H7" s="19"/>
      <c r="J7" s="56">
        <v>24</v>
      </c>
      <c r="K7" s="59">
        <v>45910</v>
      </c>
      <c r="L7" s="62">
        <v>1000</v>
      </c>
      <c r="M7" s="40">
        <f t="shared" si="0"/>
        <v>23000</v>
      </c>
      <c r="N7" s="65"/>
      <c r="P7" s="13">
        <v>5</v>
      </c>
      <c r="Q7" s="35">
        <v>45907</v>
      </c>
      <c r="R7" s="36">
        <v>10000</v>
      </c>
      <c r="S7" s="38">
        <f t="shared" si="1"/>
        <v>50000</v>
      </c>
      <c r="T7" s="40"/>
    </row>
    <row r="8" spans="2:22" x14ac:dyDescent="0.3">
      <c r="B8" s="14">
        <v>6</v>
      </c>
      <c r="C8" s="11">
        <v>45968</v>
      </c>
      <c r="D8" s="2">
        <v>4680</v>
      </c>
      <c r="E8" s="3">
        <v>559</v>
      </c>
      <c r="F8" s="2">
        <v>4121</v>
      </c>
      <c r="G8" s="2">
        <v>26349</v>
      </c>
      <c r="H8" s="19"/>
      <c r="J8" s="56">
        <v>25</v>
      </c>
      <c r="K8" s="59">
        <v>45940</v>
      </c>
      <c r="L8" s="62">
        <v>1000</v>
      </c>
      <c r="M8" s="40">
        <f t="shared" si="0"/>
        <v>24000</v>
      </c>
      <c r="N8" s="65"/>
      <c r="P8" s="13">
        <v>6</v>
      </c>
      <c r="Q8" s="35">
        <v>45937</v>
      </c>
      <c r="R8" s="36">
        <v>10000</v>
      </c>
      <c r="S8" s="38">
        <f t="shared" si="1"/>
        <v>60000</v>
      </c>
      <c r="T8" s="40"/>
    </row>
    <row r="9" spans="2:22" x14ac:dyDescent="0.3">
      <c r="B9" s="14">
        <v>7</v>
      </c>
      <c r="C9" s="11">
        <v>45998</v>
      </c>
      <c r="D9" s="2">
        <v>4680</v>
      </c>
      <c r="E9" s="3">
        <v>487</v>
      </c>
      <c r="F9" s="2">
        <v>4193</v>
      </c>
      <c r="G9" s="2">
        <v>22156</v>
      </c>
      <c r="H9" s="19"/>
      <c r="J9" s="56">
        <v>26</v>
      </c>
      <c r="K9" s="59">
        <v>45971</v>
      </c>
      <c r="L9" s="62">
        <v>1000</v>
      </c>
      <c r="M9" s="40">
        <f t="shared" si="0"/>
        <v>25000</v>
      </c>
      <c r="N9" s="65"/>
      <c r="P9" s="14">
        <v>7</v>
      </c>
      <c r="Q9" s="35">
        <v>45968</v>
      </c>
      <c r="R9" s="36">
        <v>10000</v>
      </c>
      <c r="S9" s="38">
        <f t="shared" si="1"/>
        <v>70000</v>
      </c>
      <c r="T9" s="40"/>
    </row>
    <row r="10" spans="2:22" x14ac:dyDescent="0.3">
      <c r="B10" s="14">
        <v>8</v>
      </c>
      <c r="C10" s="11">
        <v>46029</v>
      </c>
      <c r="D10" s="2">
        <v>4680</v>
      </c>
      <c r="E10" s="3">
        <v>415</v>
      </c>
      <c r="F10" s="2">
        <v>4265</v>
      </c>
      <c r="G10" s="2">
        <v>17891</v>
      </c>
      <c r="H10" s="19"/>
      <c r="J10" s="56">
        <v>27</v>
      </c>
      <c r="K10" s="59">
        <v>46001</v>
      </c>
      <c r="L10" s="62">
        <v>1000</v>
      </c>
      <c r="M10" s="40">
        <f t="shared" si="0"/>
        <v>26000</v>
      </c>
      <c r="N10" s="65"/>
      <c r="P10" s="14">
        <v>8</v>
      </c>
      <c r="Q10" s="35">
        <v>45998</v>
      </c>
      <c r="R10" s="36">
        <v>10000</v>
      </c>
      <c r="S10" s="38">
        <f t="shared" si="1"/>
        <v>80000</v>
      </c>
      <c r="T10" s="40"/>
    </row>
    <row r="11" spans="2:22" x14ac:dyDescent="0.3">
      <c r="B11" s="14">
        <v>9</v>
      </c>
      <c r="C11" s="11">
        <v>46060</v>
      </c>
      <c r="D11" s="2">
        <v>4680</v>
      </c>
      <c r="E11" s="3">
        <v>343</v>
      </c>
      <c r="F11" s="2">
        <v>4337</v>
      </c>
      <c r="G11" s="2">
        <v>13554</v>
      </c>
      <c r="H11" s="19"/>
      <c r="J11" s="56">
        <v>28</v>
      </c>
      <c r="K11" s="59">
        <v>46032</v>
      </c>
      <c r="L11" s="62">
        <v>1000</v>
      </c>
      <c r="M11" s="40">
        <f t="shared" si="0"/>
        <v>27000</v>
      </c>
      <c r="N11" s="65"/>
      <c r="P11" s="13">
        <v>9</v>
      </c>
      <c r="Q11" s="35">
        <v>46029</v>
      </c>
      <c r="R11" s="36">
        <v>10000</v>
      </c>
      <c r="S11" s="38">
        <f t="shared" si="1"/>
        <v>90000</v>
      </c>
      <c r="T11" s="40"/>
    </row>
    <row r="12" spans="2:22" x14ac:dyDescent="0.3">
      <c r="B12" s="14">
        <v>10</v>
      </c>
      <c r="C12" s="11">
        <v>46088</v>
      </c>
      <c r="D12" s="2">
        <v>4680</v>
      </c>
      <c r="E12" s="3">
        <v>271</v>
      </c>
      <c r="F12" s="2">
        <v>4409</v>
      </c>
      <c r="G12" s="2">
        <v>9145</v>
      </c>
      <c r="H12" s="19"/>
      <c r="J12" s="56">
        <v>29</v>
      </c>
      <c r="K12" s="59">
        <v>46063</v>
      </c>
      <c r="L12" s="62">
        <v>1000</v>
      </c>
      <c r="M12" s="40">
        <f t="shared" si="0"/>
        <v>28000</v>
      </c>
      <c r="N12" s="65"/>
      <c r="P12" s="13">
        <v>10</v>
      </c>
      <c r="Q12" s="35">
        <v>46060</v>
      </c>
      <c r="R12" s="36">
        <v>10000</v>
      </c>
      <c r="S12" s="38">
        <f t="shared" si="1"/>
        <v>100000</v>
      </c>
      <c r="T12" s="40"/>
    </row>
    <row r="13" spans="2:22" x14ac:dyDescent="0.3">
      <c r="B13" s="14">
        <v>11</v>
      </c>
      <c r="C13" s="11">
        <v>46119</v>
      </c>
      <c r="D13" s="2">
        <v>4680</v>
      </c>
      <c r="E13" s="3">
        <v>200</v>
      </c>
      <c r="F13" s="2">
        <v>4480</v>
      </c>
      <c r="G13" s="2">
        <v>4665</v>
      </c>
      <c r="H13" s="19"/>
      <c r="J13" s="56">
        <v>30</v>
      </c>
      <c r="K13" s="59">
        <v>46091</v>
      </c>
      <c r="L13" s="62">
        <v>1000</v>
      </c>
      <c r="M13" s="40">
        <f t="shared" si="0"/>
        <v>29000</v>
      </c>
      <c r="N13" s="65"/>
      <c r="P13" s="13">
        <v>11</v>
      </c>
      <c r="Q13" s="35">
        <v>46088</v>
      </c>
      <c r="R13" s="36">
        <v>10000</v>
      </c>
      <c r="S13" s="38">
        <f t="shared" si="1"/>
        <v>110000</v>
      </c>
      <c r="T13" s="40"/>
    </row>
    <row r="14" spans="2:22" ht="15" thickBot="1" x14ac:dyDescent="0.35">
      <c r="B14" s="15">
        <v>12</v>
      </c>
      <c r="C14" s="12">
        <v>46149</v>
      </c>
      <c r="D14" s="20">
        <v>4680</v>
      </c>
      <c r="E14" s="21">
        <v>128</v>
      </c>
      <c r="F14" s="20">
        <v>4552</v>
      </c>
      <c r="G14" s="20">
        <v>0</v>
      </c>
      <c r="H14" s="22"/>
      <c r="J14" s="56">
        <v>31</v>
      </c>
      <c r="K14" s="59">
        <v>46122</v>
      </c>
      <c r="L14" s="62">
        <v>1000</v>
      </c>
      <c r="M14" s="40">
        <f t="shared" si="0"/>
        <v>30000</v>
      </c>
      <c r="N14" s="65"/>
      <c r="P14" s="14">
        <v>12</v>
      </c>
      <c r="Q14" s="35">
        <v>46119</v>
      </c>
      <c r="R14" s="36">
        <v>10000</v>
      </c>
      <c r="S14" s="38">
        <f t="shared" si="1"/>
        <v>120000</v>
      </c>
      <c r="T14" s="40"/>
    </row>
    <row r="15" spans="2:22" x14ac:dyDescent="0.3">
      <c r="B15" s="6"/>
      <c r="C15" s="7"/>
      <c r="D15" s="8"/>
      <c r="E15" s="9"/>
      <c r="F15" s="8"/>
      <c r="G15" s="9"/>
      <c r="H15" s="9"/>
      <c r="J15" s="56">
        <v>32</v>
      </c>
      <c r="K15" s="59">
        <v>46152</v>
      </c>
      <c r="L15" s="62">
        <v>1000</v>
      </c>
      <c r="M15" s="40">
        <f t="shared" si="0"/>
        <v>31000</v>
      </c>
      <c r="N15" s="65"/>
      <c r="P15" s="14">
        <v>13</v>
      </c>
      <c r="Q15" s="35">
        <v>46149</v>
      </c>
      <c r="R15" s="36">
        <v>10000</v>
      </c>
      <c r="S15" s="38">
        <f t="shared" si="1"/>
        <v>130000</v>
      </c>
      <c r="T15" s="40"/>
    </row>
    <row r="16" spans="2:22" x14ac:dyDescent="0.3">
      <c r="J16" s="56">
        <v>33</v>
      </c>
      <c r="K16" s="59">
        <v>46183</v>
      </c>
      <c r="L16" s="62">
        <v>1000</v>
      </c>
      <c r="M16" s="40">
        <f t="shared" si="0"/>
        <v>32000</v>
      </c>
      <c r="N16" s="65"/>
      <c r="P16" s="13">
        <v>14</v>
      </c>
      <c r="Q16" s="35">
        <v>46180</v>
      </c>
      <c r="R16" s="36">
        <v>10000</v>
      </c>
      <c r="S16" s="38">
        <f t="shared" si="1"/>
        <v>140000</v>
      </c>
      <c r="T16" s="40"/>
    </row>
    <row r="17" spans="10:20" ht="15" thickBot="1" x14ac:dyDescent="0.35">
      <c r="J17" s="56">
        <v>34</v>
      </c>
      <c r="K17" s="59">
        <v>46213</v>
      </c>
      <c r="L17" s="62">
        <v>1000</v>
      </c>
      <c r="M17" s="40">
        <f t="shared" si="0"/>
        <v>33000</v>
      </c>
      <c r="N17" s="65"/>
      <c r="P17" s="13">
        <v>15</v>
      </c>
      <c r="Q17" s="35">
        <v>46210</v>
      </c>
      <c r="R17" s="37">
        <v>10000</v>
      </c>
      <c r="S17" s="38">
        <f t="shared" si="1"/>
        <v>150000</v>
      </c>
      <c r="T17" s="41"/>
    </row>
    <row r="18" spans="10:20" ht="15" thickBot="1" x14ac:dyDescent="0.35">
      <c r="J18" s="56">
        <v>35</v>
      </c>
      <c r="K18" s="59">
        <v>46244</v>
      </c>
      <c r="L18" s="62">
        <v>1000</v>
      </c>
      <c r="M18" s="40">
        <f t="shared" si="0"/>
        <v>34000</v>
      </c>
      <c r="N18" s="65"/>
      <c r="P18" s="33"/>
      <c r="Q18" s="34"/>
      <c r="R18" s="30" t="s">
        <v>10</v>
      </c>
      <c r="S18" s="26">
        <v>157208</v>
      </c>
      <c r="T18" s="31"/>
    </row>
    <row r="19" spans="10:20" x14ac:dyDescent="0.3">
      <c r="J19" s="56">
        <v>36</v>
      </c>
      <c r="K19" s="59">
        <v>46275</v>
      </c>
      <c r="L19" s="62">
        <v>1000</v>
      </c>
      <c r="M19" s="40">
        <f t="shared" si="0"/>
        <v>35000</v>
      </c>
      <c r="N19" s="65"/>
    </row>
    <row r="20" spans="10:20" x14ac:dyDescent="0.3">
      <c r="J20" s="56">
        <v>37</v>
      </c>
      <c r="K20" s="59">
        <v>46305</v>
      </c>
      <c r="L20" s="62">
        <v>1000</v>
      </c>
      <c r="M20" s="40">
        <f t="shared" si="0"/>
        <v>36000</v>
      </c>
      <c r="N20" s="65"/>
    </row>
    <row r="21" spans="10:20" x14ac:dyDescent="0.3">
      <c r="J21" s="56">
        <v>38</v>
      </c>
      <c r="K21" s="59">
        <v>46336</v>
      </c>
      <c r="L21" s="62">
        <v>1000</v>
      </c>
      <c r="M21" s="40">
        <f t="shared" si="0"/>
        <v>37000</v>
      </c>
      <c r="N21" s="65"/>
    </row>
    <row r="22" spans="10:20" x14ac:dyDescent="0.3">
      <c r="J22" s="56">
        <v>39</v>
      </c>
      <c r="K22" s="59">
        <v>46366</v>
      </c>
      <c r="L22" s="62">
        <v>1000</v>
      </c>
      <c r="M22" s="40">
        <f t="shared" si="0"/>
        <v>38000</v>
      </c>
      <c r="N22" s="65"/>
    </row>
    <row r="23" spans="10:20" x14ac:dyDescent="0.3">
      <c r="J23" s="56">
        <v>40</v>
      </c>
      <c r="K23" s="59">
        <v>46397</v>
      </c>
      <c r="L23" s="62">
        <v>1000</v>
      </c>
      <c r="M23" s="40">
        <f t="shared" si="0"/>
        <v>39000</v>
      </c>
      <c r="N23" s="65"/>
    </row>
    <row r="24" spans="10:20" x14ac:dyDescent="0.3">
      <c r="J24" s="56">
        <v>41</v>
      </c>
      <c r="K24" s="59">
        <v>46428</v>
      </c>
      <c r="L24" s="62">
        <v>1000</v>
      </c>
      <c r="M24" s="40">
        <f t="shared" si="0"/>
        <v>40000</v>
      </c>
      <c r="N24" s="65"/>
    </row>
    <row r="25" spans="10:20" x14ac:dyDescent="0.3">
      <c r="J25" s="56">
        <v>42</v>
      </c>
      <c r="K25" s="59">
        <v>46456</v>
      </c>
      <c r="L25" s="62">
        <v>1000</v>
      </c>
      <c r="M25" s="40">
        <f t="shared" si="0"/>
        <v>41000</v>
      </c>
      <c r="N25" s="65"/>
    </row>
    <row r="26" spans="10:20" x14ac:dyDescent="0.3">
      <c r="J26" s="56">
        <v>43</v>
      </c>
      <c r="K26" s="59">
        <v>46487</v>
      </c>
      <c r="L26" s="62">
        <v>1000</v>
      </c>
      <c r="M26" s="40">
        <f t="shared" si="0"/>
        <v>42000</v>
      </c>
      <c r="N26" s="65"/>
    </row>
    <row r="27" spans="10:20" x14ac:dyDescent="0.3">
      <c r="J27" s="56">
        <v>44</v>
      </c>
      <c r="K27" s="59">
        <v>46517</v>
      </c>
      <c r="L27" s="62">
        <v>1000</v>
      </c>
      <c r="M27" s="40">
        <f t="shared" si="0"/>
        <v>43000</v>
      </c>
      <c r="N27" s="65"/>
    </row>
    <row r="28" spans="10:20" x14ac:dyDescent="0.3">
      <c r="J28" s="56">
        <v>45</v>
      </c>
      <c r="K28" s="59">
        <v>46548</v>
      </c>
      <c r="L28" s="62">
        <v>1000</v>
      </c>
      <c r="M28" s="40">
        <f t="shared" si="0"/>
        <v>44000</v>
      </c>
      <c r="N28" s="65"/>
    </row>
    <row r="29" spans="10:20" x14ac:dyDescent="0.3">
      <c r="J29" s="56">
        <v>46</v>
      </c>
      <c r="K29" s="59">
        <v>46578</v>
      </c>
      <c r="L29" s="62">
        <v>1000</v>
      </c>
      <c r="M29" s="40">
        <f t="shared" si="0"/>
        <v>45000</v>
      </c>
      <c r="N29" s="65"/>
    </row>
    <row r="30" spans="10:20" x14ac:dyDescent="0.3">
      <c r="J30" s="56">
        <v>47</v>
      </c>
      <c r="K30" s="59">
        <v>46609</v>
      </c>
      <c r="L30" s="62">
        <v>1000</v>
      </c>
      <c r="M30" s="40">
        <f t="shared" si="0"/>
        <v>46000</v>
      </c>
      <c r="N30" s="65"/>
    </row>
    <row r="31" spans="10:20" x14ac:dyDescent="0.3">
      <c r="J31" s="56">
        <v>48</v>
      </c>
      <c r="K31" s="59">
        <v>46640</v>
      </c>
      <c r="L31" s="62">
        <v>1000</v>
      </c>
      <c r="M31" s="40">
        <f t="shared" si="0"/>
        <v>47000</v>
      </c>
      <c r="N31" s="65"/>
    </row>
    <row r="32" spans="10:20" x14ac:dyDescent="0.3">
      <c r="J32" s="56">
        <v>49</v>
      </c>
      <c r="K32" s="59">
        <v>46670</v>
      </c>
      <c r="L32" s="62">
        <v>1000</v>
      </c>
      <c r="M32" s="40">
        <f t="shared" si="0"/>
        <v>48000</v>
      </c>
      <c r="N32" s="65"/>
    </row>
    <row r="33" spans="10:14" x14ac:dyDescent="0.3">
      <c r="J33" s="56">
        <v>50</v>
      </c>
      <c r="K33" s="59">
        <v>46701</v>
      </c>
      <c r="L33" s="62">
        <v>1000</v>
      </c>
      <c r="M33" s="40">
        <f t="shared" si="0"/>
        <v>49000</v>
      </c>
      <c r="N33" s="65"/>
    </row>
    <row r="34" spans="10:14" x14ac:dyDescent="0.3">
      <c r="J34" s="56">
        <v>51</v>
      </c>
      <c r="K34" s="59">
        <v>46731</v>
      </c>
      <c r="L34" s="62">
        <v>1000</v>
      </c>
      <c r="M34" s="40">
        <f t="shared" si="0"/>
        <v>50000</v>
      </c>
      <c r="N34" s="65"/>
    </row>
    <row r="35" spans="10:14" x14ac:dyDescent="0.3">
      <c r="J35" s="56">
        <v>52</v>
      </c>
      <c r="K35" s="59">
        <v>46762</v>
      </c>
      <c r="L35" s="62">
        <v>1000</v>
      </c>
      <c r="M35" s="40">
        <f t="shared" si="0"/>
        <v>51000</v>
      </c>
      <c r="N35" s="65"/>
    </row>
    <row r="36" spans="10:14" x14ac:dyDescent="0.3">
      <c r="J36" s="56">
        <v>53</v>
      </c>
      <c r="K36" s="59">
        <v>46793</v>
      </c>
      <c r="L36" s="62">
        <v>1000</v>
      </c>
      <c r="M36" s="40">
        <f t="shared" ref="M36:M67" si="2">M35+L36</f>
        <v>52000</v>
      </c>
      <c r="N36" s="65"/>
    </row>
    <row r="37" spans="10:14" x14ac:dyDescent="0.3">
      <c r="J37" s="56">
        <v>54</v>
      </c>
      <c r="K37" s="59">
        <v>46822</v>
      </c>
      <c r="L37" s="62">
        <v>1000</v>
      </c>
      <c r="M37" s="40">
        <f t="shared" si="2"/>
        <v>53000</v>
      </c>
      <c r="N37" s="65"/>
    </row>
    <row r="38" spans="10:14" x14ac:dyDescent="0.3">
      <c r="J38" s="56">
        <v>55</v>
      </c>
      <c r="K38" s="59">
        <v>46853</v>
      </c>
      <c r="L38" s="62">
        <v>1000</v>
      </c>
      <c r="M38" s="40">
        <f t="shared" si="2"/>
        <v>54000</v>
      </c>
      <c r="N38" s="65"/>
    </row>
    <row r="39" spans="10:14" x14ac:dyDescent="0.3">
      <c r="J39" s="56">
        <v>56</v>
      </c>
      <c r="K39" s="59">
        <v>46883</v>
      </c>
      <c r="L39" s="62">
        <v>1000</v>
      </c>
      <c r="M39" s="40">
        <f t="shared" si="2"/>
        <v>55000</v>
      </c>
      <c r="N39" s="65"/>
    </row>
    <row r="40" spans="10:14" x14ac:dyDescent="0.3">
      <c r="J40" s="56">
        <v>57</v>
      </c>
      <c r="K40" s="59">
        <v>46914</v>
      </c>
      <c r="L40" s="62">
        <v>1000</v>
      </c>
      <c r="M40" s="40">
        <f t="shared" si="2"/>
        <v>56000</v>
      </c>
      <c r="N40" s="65"/>
    </row>
    <row r="41" spans="10:14" x14ac:dyDescent="0.3">
      <c r="J41" s="56">
        <v>58</v>
      </c>
      <c r="K41" s="59">
        <v>46944</v>
      </c>
      <c r="L41" s="62">
        <v>1000</v>
      </c>
      <c r="M41" s="40">
        <f t="shared" si="2"/>
        <v>57000</v>
      </c>
      <c r="N41" s="65"/>
    </row>
    <row r="42" spans="10:14" x14ac:dyDescent="0.3">
      <c r="J42" s="56">
        <v>59</v>
      </c>
      <c r="K42" s="59">
        <v>46975</v>
      </c>
      <c r="L42" s="62">
        <v>1000</v>
      </c>
      <c r="M42" s="40">
        <f t="shared" si="2"/>
        <v>58000</v>
      </c>
      <c r="N42" s="65"/>
    </row>
    <row r="43" spans="10:14" x14ac:dyDescent="0.3">
      <c r="J43" s="56">
        <v>60</v>
      </c>
      <c r="K43" s="59">
        <v>47006</v>
      </c>
      <c r="L43" s="62">
        <v>1000</v>
      </c>
      <c r="M43" s="40">
        <f t="shared" si="2"/>
        <v>59000</v>
      </c>
      <c r="N43" s="65"/>
    </row>
    <row r="44" spans="10:14" x14ac:dyDescent="0.3">
      <c r="J44" s="56">
        <v>61</v>
      </c>
      <c r="K44" s="59">
        <v>47036</v>
      </c>
      <c r="L44" s="62">
        <v>1000</v>
      </c>
      <c r="M44" s="40">
        <f t="shared" si="2"/>
        <v>60000</v>
      </c>
      <c r="N44" s="65"/>
    </row>
    <row r="45" spans="10:14" x14ac:dyDescent="0.3">
      <c r="J45" s="56">
        <v>62</v>
      </c>
      <c r="K45" s="59">
        <v>47067</v>
      </c>
      <c r="L45" s="62">
        <v>1000</v>
      </c>
      <c r="M45" s="40">
        <f t="shared" si="2"/>
        <v>61000</v>
      </c>
      <c r="N45" s="65"/>
    </row>
    <row r="46" spans="10:14" x14ac:dyDescent="0.3">
      <c r="J46" s="56">
        <v>63</v>
      </c>
      <c r="K46" s="59">
        <v>47097</v>
      </c>
      <c r="L46" s="62">
        <v>1000</v>
      </c>
      <c r="M46" s="40">
        <f t="shared" si="2"/>
        <v>62000</v>
      </c>
      <c r="N46" s="65"/>
    </row>
    <row r="47" spans="10:14" x14ac:dyDescent="0.3">
      <c r="J47" s="56">
        <v>64</v>
      </c>
      <c r="K47" s="59">
        <v>47128</v>
      </c>
      <c r="L47" s="62">
        <v>1000</v>
      </c>
      <c r="M47" s="40">
        <f t="shared" si="2"/>
        <v>63000</v>
      </c>
      <c r="N47" s="65"/>
    </row>
    <row r="48" spans="10:14" x14ac:dyDescent="0.3">
      <c r="J48" s="56">
        <v>65</v>
      </c>
      <c r="K48" s="59">
        <v>47159</v>
      </c>
      <c r="L48" s="62">
        <v>1000</v>
      </c>
      <c r="M48" s="40">
        <f t="shared" si="2"/>
        <v>64000</v>
      </c>
      <c r="N48" s="65"/>
    </row>
    <row r="49" spans="10:14" x14ac:dyDescent="0.3">
      <c r="J49" s="56">
        <v>66</v>
      </c>
      <c r="K49" s="59">
        <v>47187</v>
      </c>
      <c r="L49" s="62">
        <v>1000</v>
      </c>
      <c r="M49" s="40">
        <f t="shared" si="2"/>
        <v>65000</v>
      </c>
      <c r="N49" s="65"/>
    </row>
    <row r="50" spans="10:14" x14ac:dyDescent="0.3">
      <c r="J50" s="56">
        <v>67</v>
      </c>
      <c r="K50" s="59">
        <v>47218</v>
      </c>
      <c r="L50" s="62">
        <v>1000</v>
      </c>
      <c r="M50" s="40">
        <f t="shared" si="2"/>
        <v>66000</v>
      </c>
      <c r="N50" s="65"/>
    </row>
    <row r="51" spans="10:14" x14ac:dyDescent="0.3">
      <c r="J51" s="56">
        <v>68</v>
      </c>
      <c r="K51" s="59">
        <v>47248</v>
      </c>
      <c r="L51" s="62">
        <v>1000</v>
      </c>
      <c r="M51" s="40">
        <f t="shared" si="2"/>
        <v>67000</v>
      </c>
      <c r="N51" s="65"/>
    </row>
    <row r="52" spans="10:14" x14ac:dyDescent="0.3">
      <c r="J52" s="56">
        <v>69</v>
      </c>
      <c r="K52" s="59">
        <v>47279</v>
      </c>
      <c r="L52" s="62">
        <v>1000</v>
      </c>
      <c r="M52" s="40">
        <f t="shared" si="2"/>
        <v>68000</v>
      </c>
      <c r="N52" s="65"/>
    </row>
    <row r="53" spans="10:14" x14ac:dyDescent="0.3">
      <c r="J53" s="56">
        <v>70</v>
      </c>
      <c r="K53" s="59">
        <v>47309</v>
      </c>
      <c r="L53" s="62">
        <v>1000</v>
      </c>
      <c r="M53" s="40">
        <f t="shared" si="2"/>
        <v>69000</v>
      </c>
      <c r="N53" s="65"/>
    </row>
    <row r="54" spans="10:14" x14ac:dyDescent="0.3">
      <c r="J54" s="56">
        <v>71</v>
      </c>
      <c r="K54" s="59">
        <v>47340</v>
      </c>
      <c r="L54" s="62">
        <v>1000</v>
      </c>
      <c r="M54" s="40">
        <f t="shared" si="2"/>
        <v>70000</v>
      </c>
      <c r="N54" s="65"/>
    </row>
    <row r="55" spans="10:14" x14ac:dyDescent="0.3">
      <c r="J55" s="56">
        <v>72</v>
      </c>
      <c r="K55" s="59">
        <v>47371</v>
      </c>
      <c r="L55" s="62">
        <v>1000</v>
      </c>
      <c r="M55" s="40">
        <f t="shared" si="2"/>
        <v>71000</v>
      </c>
      <c r="N55" s="65"/>
    </row>
    <row r="56" spans="10:14" x14ac:dyDescent="0.3">
      <c r="J56" s="56">
        <v>73</v>
      </c>
      <c r="K56" s="59">
        <v>47401</v>
      </c>
      <c r="L56" s="62">
        <v>1000</v>
      </c>
      <c r="M56" s="40">
        <f t="shared" si="2"/>
        <v>72000</v>
      </c>
      <c r="N56" s="65"/>
    </row>
    <row r="57" spans="10:14" x14ac:dyDescent="0.3">
      <c r="J57" s="56">
        <v>74</v>
      </c>
      <c r="K57" s="59">
        <v>47432</v>
      </c>
      <c r="L57" s="62">
        <v>1000</v>
      </c>
      <c r="M57" s="40">
        <f t="shared" si="2"/>
        <v>73000</v>
      </c>
      <c r="N57" s="65"/>
    </row>
    <row r="58" spans="10:14" x14ac:dyDescent="0.3">
      <c r="J58" s="56">
        <v>75</v>
      </c>
      <c r="K58" s="59">
        <v>47462</v>
      </c>
      <c r="L58" s="62">
        <v>1000</v>
      </c>
      <c r="M58" s="40">
        <f t="shared" si="2"/>
        <v>74000</v>
      </c>
      <c r="N58" s="65"/>
    </row>
    <row r="59" spans="10:14" x14ac:dyDescent="0.3">
      <c r="J59" s="56">
        <v>76</v>
      </c>
      <c r="K59" s="59">
        <v>47493</v>
      </c>
      <c r="L59" s="62">
        <v>1000</v>
      </c>
      <c r="M59" s="40">
        <f t="shared" si="2"/>
        <v>75000</v>
      </c>
      <c r="N59" s="65"/>
    </row>
    <row r="60" spans="10:14" x14ac:dyDescent="0.3">
      <c r="J60" s="56">
        <v>77</v>
      </c>
      <c r="K60" s="59">
        <v>47524</v>
      </c>
      <c r="L60" s="62">
        <v>1000</v>
      </c>
      <c r="M60" s="40">
        <f t="shared" si="2"/>
        <v>76000</v>
      </c>
      <c r="N60" s="65"/>
    </row>
    <row r="61" spans="10:14" x14ac:dyDescent="0.3">
      <c r="J61" s="56">
        <v>78</v>
      </c>
      <c r="K61" s="59">
        <v>47552</v>
      </c>
      <c r="L61" s="62">
        <v>1000</v>
      </c>
      <c r="M61" s="40">
        <f t="shared" si="2"/>
        <v>77000</v>
      </c>
      <c r="N61" s="65"/>
    </row>
    <row r="62" spans="10:14" x14ac:dyDescent="0.3">
      <c r="J62" s="56">
        <v>79</v>
      </c>
      <c r="K62" s="59">
        <v>47583</v>
      </c>
      <c r="L62" s="62">
        <v>1000</v>
      </c>
      <c r="M62" s="40">
        <f t="shared" si="2"/>
        <v>78000</v>
      </c>
      <c r="N62" s="65"/>
    </row>
    <row r="63" spans="10:14" x14ac:dyDescent="0.3">
      <c r="J63" s="56">
        <v>80</v>
      </c>
      <c r="K63" s="59">
        <v>47613</v>
      </c>
      <c r="L63" s="62">
        <v>1000</v>
      </c>
      <c r="M63" s="40">
        <f t="shared" si="2"/>
        <v>79000</v>
      </c>
      <c r="N63" s="65"/>
    </row>
    <row r="64" spans="10:14" x14ac:dyDescent="0.3">
      <c r="J64" s="56">
        <v>81</v>
      </c>
      <c r="K64" s="59">
        <v>47644</v>
      </c>
      <c r="L64" s="62">
        <v>1000</v>
      </c>
      <c r="M64" s="40">
        <f t="shared" si="2"/>
        <v>80000</v>
      </c>
      <c r="N64" s="65"/>
    </row>
    <row r="65" spans="10:14" x14ac:dyDescent="0.3">
      <c r="J65" s="56">
        <v>82</v>
      </c>
      <c r="K65" s="59">
        <v>47674</v>
      </c>
      <c r="L65" s="62">
        <v>1000</v>
      </c>
      <c r="M65" s="40">
        <f t="shared" si="2"/>
        <v>81000</v>
      </c>
      <c r="N65" s="65"/>
    </row>
    <row r="66" spans="10:14" x14ac:dyDescent="0.3">
      <c r="J66" s="56">
        <v>83</v>
      </c>
      <c r="K66" s="59">
        <v>47705</v>
      </c>
      <c r="L66" s="62">
        <v>1000</v>
      </c>
      <c r="M66" s="40">
        <f t="shared" si="2"/>
        <v>82000</v>
      </c>
      <c r="N66" s="65"/>
    </row>
    <row r="67" spans="10:14" x14ac:dyDescent="0.3">
      <c r="J67" s="56">
        <v>84</v>
      </c>
      <c r="K67" s="59">
        <v>47736</v>
      </c>
      <c r="L67" s="62">
        <v>1000</v>
      </c>
      <c r="M67" s="40">
        <f t="shared" si="2"/>
        <v>83000</v>
      </c>
      <c r="N67" s="65"/>
    </row>
    <row r="68" spans="10:14" x14ac:dyDescent="0.3">
      <c r="J68" s="56">
        <v>85</v>
      </c>
      <c r="K68" s="59">
        <v>47766</v>
      </c>
      <c r="L68" s="62">
        <v>1000</v>
      </c>
      <c r="M68" s="40">
        <f t="shared" ref="M68:M99" si="3">M67+L68</f>
        <v>84000</v>
      </c>
      <c r="N68" s="65"/>
    </row>
    <row r="69" spans="10:14" x14ac:dyDescent="0.3">
      <c r="J69" s="56">
        <v>86</v>
      </c>
      <c r="K69" s="59">
        <v>47797</v>
      </c>
      <c r="L69" s="62">
        <v>1000</v>
      </c>
      <c r="M69" s="40">
        <f t="shared" si="3"/>
        <v>85000</v>
      </c>
      <c r="N69" s="65"/>
    </row>
    <row r="70" spans="10:14" x14ac:dyDescent="0.3">
      <c r="J70" s="56">
        <v>87</v>
      </c>
      <c r="K70" s="59">
        <v>47827</v>
      </c>
      <c r="L70" s="62">
        <v>1000</v>
      </c>
      <c r="M70" s="40">
        <f t="shared" si="3"/>
        <v>86000</v>
      </c>
      <c r="N70" s="65"/>
    </row>
    <row r="71" spans="10:14" x14ac:dyDescent="0.3">
      <c r="J71" s="56">
        <v>88</v>
      </c>
      <c r="K71" s="59">
        <v>47858</v>
      </c>
      <c r="L71" s="62">
        <v>1000</v>
      </c>
      <c r="M71" s="40">
        <f t="shared" si="3"/>
        <v>87000</v>
      </c>
      <c r="N71" s="65"/>
    </row>
    <row r="72" spans="10:14" x14ac:dyDescent="0.3">
      <c r="J72" s="56">
        <v>89</v>
      </c>
      <c r="K72" s="59">
        <v>47889</v>
      </c>
      <c r="L72" s="62">
        <v>1000</v>
      </c>
      <c r="M72" s="40">
        <f t="shared" si="3"/>
        <v>88000</v>
      </c>
      <c r="N72" s="65"/>
    </row>
    <row r="73" spans="10:14" x14ac:dyDescent="0.3">
      <c r="J73" s="56">
        <v>90</v>
      </c>
      <c r="K73" s="59">
        <v>47917</v>
      </c>
      <c r="L73" s="62">
        <v>1000</v>
      </c>
      <c r="M73" s="40">
        <f t="shared" si="3"/>
        <v>89000</v>
      </c>
      <c r="N73" s="65"/>
    </row>
    <row r="74" spans="10:14" x14ac:dyDescent="0.3">
      <c r="J74" s="56">
        <v>91</v>
      </c>
      <c r="K74" s="59">
        <v>47948</v>
      </c>
      <c r="L74" s="62">
        <v>1000</v>
      </c>
      <c r="M74" s="40">
        <f t="shared" si="3"/>
        <v>90000</v>
      </c>
      <c r="N74" s="65"/>
    </row>
    <row r="75" spans="10:14" x14ac:dyDescent="0.3">
      <c r="J75" s="56">
        <v>92</v>
      </c>
      <c r="K75" s="59">
        <v>47978</v>
      </c>
      <c r="L75" s="62">
        <v>1000</v>
      </c>
      <c r="M75" s="40">
        <f t="shared" si="3"/>
        <v>91000</v>
      </c>
      <c r="N75" s="65"/>
    </row>
    <row r="76" spans="10:14" x14ac:dyDescent="0.3">
      <c r="J76" s="56">
        <v>93</v>
      </c>
      <c r="K76" s="59">
        <v>48009</v>
      </c>
      <c r="L76" s="62">
        <v>1000</v>
      </c>
      <c r="M76" s="40">
        <f t="shared" si="3"/>
        <v>92000</v>
      </c>
      <c r="N76" s="65"/>
    </row>
    <row r="77" spans="10:14" x14ac:dyDescent="0.3">
      <c r="J77" s="56">
        <v>94</v>
      </c>
      <c r="K77" s="59">
        <v>48039</v>
      </c>
      <c r="L77" s="62">
        <v>1000</v>
      </c>
      <c r="M77" s="40">
        <f t="shared" si="3"/>
        <v>93000</v>
      </c>
      <c r="N77" s="65"/>
    </row>
    <row r="78" spans="10:14" x14ac:dyDescent="0.3">
      <c r="J78" s="56">
        <v>95</v>
      </c>
      <c r="K78" s="59">
        <v>48070</v>
      </c>
      <c r="L78" s="62">
        <v>1000</v>
      </c>
      <c r="M78" s="40">
        <f t="shared" si="3"/>
        <v>94000</v>
      </c>
      <c r="N78" s="65"/>
    </row>
    <row r="79" spans="10:14" x14ac:dyDescent="0.3">
      <c r="J79" s="56">
        <v>96</v>
      </c>
      <c r="K79" s="59">
        <v>48101</v>
      </c>
      <c r="L79" s="62">
        <v>1000</v>
      </c>
      <c r="M79" s="40">
        <f t="shared" si="3"/>
        <v>95000</v>
      </c>
      <c r="N79" s="65"/>
    </row>
    <row r="80" spans="10:14" x14ac:dyDescent="0.3">
      <c r="J80" s="56">
        <v>97</v>
      </c>
      <c r="K80" s="59">
        <v>48131</v>
      </c>
      <c r="L80" s="62">
        <v>1000</v>
      </c>
      <c r="M80" s="40">
        <f t="shared" si="3"/>
        <v>96000</v>
      </c>
      <c r="N80" s="65"/>
    </row>
    <row r="81" spans="10:14" x14ac:dyDescent="0.3">
      <c r="J81" s="56">
        <v>98</v>
      </c>
      <c r="K81" s="59">
        <v>48162</v>
      </c>
      <c r="L81" s="62">
        <v>1000</v>
      </c>
      <c r="M81" s="40">
        <f t="shared" si="3"/>
        <v>97000</v>
      </c>
      <c r="N81" s="65"/>
    </row>
    <row r="82" spans="10:14" x14ac:dyDescent="0.3">
      <c r="J82" s="56">
        <v>99</v>
      </c>
      <c r="K82" s="59">
        <v>48192</v>
      </c>
      <c r="L82" s="62">
        <v>1000</v>
      </c>
      <c r="M82" s="40">
        <f t="shared" si="3"/>
        <v>98000</v>
      </c>
      <c r="N82" s="65"/>
    </row>
    <row r="83" spans="10:14" x14ac:dyDescent="0.3">
      <c r="J83" s="56">
        <v>100</v>
      </c>
      <c r="K83" s="59">
        <v>48223</v>
      </c>
      <c r="L83" s="62">
        <v>1000</v>
      </c>
      <c r="M83" s="40">
        <f t="shared" si="3"/>
        <v>99000</v>
      </c>
      <c r="N83" s="65"/>
    </row>
    <row r="84" spans="10:14" x14ac:dyDescent="0.3">
      <c r="J84" s="56">
        <v>101</v>
      </c>
      <c r="K84" s="59">
        <v>48254</v>
      </c>
      <c r="L84" s="62">
        <v>1000</v>
      </c>
      <c r="M84" s="40">
        <f t="shared" si="3"/>
        <v>100000</v>
      </c>
      <c r="N84" s="65"/>
    </row>
    <row r="85" spans="10:14" x14ac:dyDescent="0.3">
      <c r="J85" s="56">
        <v>102</v>
      </c>
      <c r="K85" s="59">
        <v>48283</v>
      </c>
      <c r="L85" s="62">
        <v>1000</v>
      </c>
      <c r="M85" s="40">
        <f t="shared" si="3"/>
        <v>101000</v>
      </c>
      <c r="N85" s="65"/>
    </row>
    <row r="86" spans="10:14" x14ac:dyDescent="0.3">
      <c r="J86" s="56">
        <v>103</v>
      </c>
      <c r="K86" s="59">
        <v>48314</v>
      </c>
      <c r="L86" s="62">
        <v>1000</v>
      </c>
      <c r="M86" s="40">
        <f t="shared" si="3"/>
        <v>102000</v>
      </c>
      <c r="N86" s="65"/>
    </row>
    <row r="87" spans="10:14" x14ac:dyDescent="0.3">
      <c r="J87" s="56">
        <v>104</v>
      </c>
      <c r="K87" s="59">
        <v>48344</v>
      </c>
      <c r="L87" s="62">
        <v>1000</v>
      </c>
      <c r="M87" s="40">
        <f t="shared" si="3"/>
        <v>103000</v>
      </c>
      <c r="N87" s="65"/>
    </row>
    <row r="88" spans="10:14" x14ac:dyDescent="0.3">
      <c r="J88" s="56">
        <v>105</v>
      </c>
      <c r="K88" s="59">
        <v>48375</v>
      </c>
      <c r="L88" s="62">
        <v>1000</v>
      </c>
      <c r="M88" s="40">
        <f t="shared" si="3"/>
        <v>104000</v>
      </c>
      <c r="N88" s="65"/>
    </row>
    <row r="89" spans="10:14" x14ac:dyDescent="0.3">
      <c r="J89" s="56">
        <v>106</v>
      </c>
      <c r="K89" s="59">
        <v>48405</v>
      </c>
      <c r="L89" s="62">
        <v>1000</v>
      </c>
      <c r="M89" s="40">
        <f t="shared" si="3"/>
        <v>105000</v>
      </c>
      <c r="N89" s="65"/>
    </row>
    <row r="90" spans="10:14" x14ac:dyDescent="0.3">
      <c r="J90" s="56">
        <v>107</v>
      </c>
      <c r="K90" s="59">
        <v>48436</v>
      </c>
      <c r="L90" s="62">
        <v>1000</v>
      </c>
      <c r="M90" s="40">
        <f t="shared" si="3"/>
        <v>106000</v>
      </c>
      <c r="N90" s="65"/>
    </row>
    <row r="91" spans="10:14" x14ac:dyDescent="0.3">
      <c r="J91" s="56">
        <v>108</v>
      </c>
      <c r="K91" s="59">
        <v>48467</v>
      </c>
      <c r="L91" s="62">
        <v>1000</v>
      </c>
      <c r="M91" s="40">
        <f t="shared" si="3"/>
        <v>107000</v>
      </c>
      <c r="N91" s="65"/>
    </row>
    <row r="92" spans="10:14" x14ac:dyDescent="0.3">
      <c r="J92" s="56">
        <v>109</v>
      </c>
      <c r="K92" s="59">
        <v>48497</v>
      </c>
      <c r="L92" s="62">
        <v>1000</v>
      </c>
      <c r="M92" s="40">
        <f t="shared" si="3"/>
        <v>108000</v>
      </c>
      <c r="N92" s="65"/>
    </row>
    <row r="93" spans="10:14" x14ac:dyDescent="0.3">
      <c r="J93" s="56">
        <v>110</v>
      </c>
      <c r="K93" s="59">
        <v>48528</v>
      </c>
      <c r="L93" s="62">
        <v>1000</v>
      </c>
      <c r="M93" s="40">
        <f t="shared" si="3"/>
        <v>109000</v>
      </c>
      <c r="N93" s="65"/>
    </row>
    <row r="94" spans="10:14" x14ac:dyDescent="0.3">
      <c r="J94" s="56">
        <v>111</v>
      </c>
      <c r="K94" s="59">
        <v>48558</v>
      </c>
      <c r="L94" s="62">
        <v>1000</v>
      </c>
      <c r="M94" s="40">
        <f t="shared" si="3"/>
        <v>110000</v>
      </c>
      <c r="N94" s="65"/>
    </row>
    <row r="95" spans="10:14" x14ac:dyDescent="0.3">
      <c r="J95" s="56">
        <v>112</v>
      </c>
      <c r="K95" s="59">
        <v>48589</v>
      </c>
      <c r="L95" s="62">
        <v>1000</v>
      </c>
      <c r="M95" s="40">
        <f t="shared" si="3"/>
        <v>111000</v>
      </c>
      <c r="N95" s="65"/>
    </row>
    <row r="96" spans="10:14" x14ac:dyDescent="0.3">
      <c r="J96" s="56">
        <v>113</v>
      </c>
      <c r="K96" s="59">
        <v>48620</v>
      </c>
      <c r="L96" s="62">
        <v>1000</v>
      </c>
      <c r="M96" s="40">
        <f t="shared" si="3"/>
        <v>112000</v>
      </c>
      <c r="N96" s="65"/>
    </row>
    <row r="97" spans="10:14" x14ac:dyDescent="0.3">
      <c r="J97" s="56">
        <v>114</v>
      </c>
      <c r="K97" s="59">
        <v>48648</v>
      </c>
      <c r="L97" s="62">
        <v>1000</v>
      </c>
      <c r="M97" s="40">
        <f t="shared" si="3"/>
        <v>113000</v>
      </c>
      <c r="N97" s="65"/>
    </row>
    <row r="98" spans="10:14" x14ac:dyDescent="0.3">
      <c r="J98" s="56">
        <v>115</v>
      </c>
      <c r="K98" s="59">
        <v>48679</v>
      </c>
      <c r="L98" s="62">
        <v>1000</v>
      </c>
      <c r="M98" s="40">
        <f t="shared" si="3"/>
        <v>114000</v>
      </c>
      <c r="N98" s="65"/>
    </row>
    <row r="99" spans="10:14" x14ac:dyDescent="0.3">
      <c r="J99" s="56">
        <v>116</v>
      </c>
      <c r="K99" s="59">
        <v>48709</v>
      </c>
      <c r="L99" s="62">
        <v>1000</v>
      </c>
      <c r="M99" s="40">
        <f t="shared" si="3"/>
        <v>115000</v>
      </c>
      <c r="N99" s="65"/>
    </row>
    <row r="100" spans="10:14" x14ac:dyDescent="0.3">
      <c r="J100" s="56">
        <v>117</v>
      </c>
      <c r="K100" s="59">
        <v>48740</v>
      </c>
      <c r="L100" s="62">
        <v>1000</v>
      </c>
      <c r="M100" s="40">
        <f t="shared" ref="M100:M103" si="4">M99+L100</f>
        <v>116000</v>
      </c>
      <c r="N100" s="65"/>
    </row>
    <row r="101" spans="10:14" x14ac:dyDescent="0.3">
      <c r="J101" s="56">
        <v>118</v>
      </c>
      <c r="K101" s="59">
        <v>48770</v>
      </c>
      <c r="L101" s="62">
        <v>1000</v>
      </c>
      <c r="M101" s="40">
        <f t="shared" si="4"/>
        <v>117000</v>
      </c>
      <c r="N101" s="65"/>
    </row>
    <row r="102" spans="10:14" x14ac:dyDescent="0.3">
      <c r="J102" s="56">
        <v>119</v>
      </c>
      <c r="K102" s="59">
        <v>48801</v>
      </c>
      <c r="L102" s="62">
        <v>1000</v>
      </c>
      <c r="M102" s="40">
        <f t="shared" si="4"/>
        <v>118000</v>
      </c>
      <c r="N102" s="65"/>
    </row>
    <row r="103" spans="10:14" ht="15" thickBot="1" x14ac:dyDescent="0.35">
      <c r="J103" s="57">
        <v>120</v>
      </c>
      <c r="K103" s="60">
        <v>48832</v>
      </c>
      <c r="L103" s="63">
        <v>1000</v>
      </c>
      <c r="M103" s="41">
        <f t="shared" si="4"/>
        <v>119000</v>
      </c>
      <c r="N103" s="66"/>
    </row>
    <row r="104" spans="10:14" ht="15" thickBot="1" x14ac:dyDescent="0.35">
      <c r="J104" s="33"/>
      <c r="K104" s="34"/>
      <c r="L104" s="30" t="s">
        <v>10</v>
      </c>
      <c r="M104" s="32">
        <v>173703</v>
      </c>
      <c r="N104" s="31"/>
    </row>
  </sheetData>
  <mergeCells count="3">
    <mergeCell ref="J1:N1"/>
    <mergeCell ref="P1:T1"/>
    <mergeCell ref="B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1AB7-8F63-4B2F-AD46-402C9C11D1D6}">
  <dimension ref="A1"/>
  <sheetViews>
    <sheetView zoomScale="130" zoomScaleNormal="130" workbookViewId="0">
      <selection activeCell="G11" sqref="G11"/>
    </sheetView>
  </sheetViews>
  <sheetFormatPr defaultRowHeight="14.4" x14ac:dyDescent="0.3"/>
  <cols>
    <col min="1" max="1" width="6.5546875" bestFit="1" customWidth="1"/>
    <col min="2" max="2" width="9.5546875" bestFit="1" customWidth="1"/>
    <col min="3" max="4" width="8.6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Amount Payable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cp:lastPrinted>2025-05-04T15:33:06Z</cp:lastPrinted>
  <dcterms:created xsi:type="dcterms:W3CDTF">2025-05-04T14:35:06Z</dcterms:created>
  <dcterms:modified xsi:type="dcterms:W3CDTF">2025-05-07T17:52:23Z</dcterms:modified>
</cp:coreProperties>
</file>