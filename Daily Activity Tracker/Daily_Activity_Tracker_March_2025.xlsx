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chandrakanb\chandrakanb\Daily Activity Tracker\"/>
    </mc:Choice>
  </mc:AlternateContent>
  <xr:revisionPtr revIDLastSave="0" documentId="13_ncr:1_{247BC24C-E5F0-4267-B925-8F2525B4F4C7}" xr6:coauthVersionLast="47" xr6:coauthVersionMax="47" xr10:uidLastSave="{00000000-0000-0000-0000-000000000000}"/>
  <bookViews>
    <workbookView xWindow="-108" yWindow="-108" windowWidth="23256" windowHeight="12456" firstSheet="17" activeTab="24" xr2:uid="{00000000-000D-0000-FFFF-FFFF00000000}"/>
  </bookViews>
  <sheets>
    <sheet name="day_month" sheetId="1" r:id="rId1"/>
    <sheet name="3rd_March" sheetId="2" r:id="rId2"/>
    <sheet name="4th_March" sheetId="3" r:id="rId3"/>
    <sheet name="6th_March" sheetId="4" r:id="rId4"/>
    <sheet name="7th_March" sheetId="5" r:id="rId5"/>
    <sheet name="17th_March" sheetId="6" r:id="rId6"/>
    <sheet name="18th_March" sheetId="7" r:id="rId7"/>
    <sheet name="19th_March" sheetId="8" r:id="rId8"/>
    <sheet name="21st_March" sheetId="9" r:id="rId9"/>
    <sheet name="26th_March" sheetId="10" r:id="rId10"/>
    <sheet name="Sheet3" sheetId="11" r:id="rId11"/>
    <sheet name="Sheet1" sheetId="12" r:id="rId12"/>
    <sheet name="Sheet2" sheetId="13" r:id="rId13"/>
    <sheet name="27th_March" sheetId="14" r:id="rId14"/>
    <sheet name="28th_March" sheetId="15" r:id="rId15"/>
    <sheet name="4th_April" sheetId="16" r:id="rId16"/>
    <sheet name="8th_April" sheetId="17" r:id="rId17"/>
    <sheet name="9th_April" sheetId="18" r:id="rId18"/>
    <sheet name="10th_April" sheetId="19" r:id="rId19"/>
    <sheet name="11th_April" sheetId="20" r:id="rId20"/>
    <sheet name="14th_April" sheetId="21" r:id="rId21"/>
    <sheet name="16th_April" sheetId="22" r:id="rId22"/>
    <sheet name="17th_April" sheetId="23" r:id="rId23"/>
    <sheet name="18th_April" sheetId="24" r:id="rId24"/>
    <sheet name="21st_April" sheetId="25" r:id="rId2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6" i="25" l="1"/>
  <c r="F35" i="25"/>
  <c r="F34" i="25"/>
  <c r="F33" i="25"/>
  <c r="C5" i="25"/>
  <c r="C4" i="25"/>
  <c r="C3" i="25"/>
  <c r="F9" i="25" l="1"/>
  <c r="F10" i="25"/>
  <c r="F11" i="25"/>
  <c r="F12" i="25"/>
  <c r="F13" i="25"/>
  <c r="F14" i="25"/>
  <c r="F15" i="25"/>
  <c r="F16" i="25"/>
  <c r="F17" i="25"/>
  <c r="F18" i="25"/>
  <c r="F19" i="25"/>
  <c r="F20" i="25"/>
  <c r="F21" i="25"/>
  <c r="F22" i="25"/>
  <c r="F23" i="25"/>
  <c r="F24" i="25"/>
  <c r="F25" i="25"/>
  <c r="F26" i="25"/>
  <c r="F27" i="25"/>
  <c r="A9" i="25"/>
  <c r="A10" i="25"/>
  <c r="A11" i="25"/>
  <c r="A12" i="25"/>
  <c r="A13" i="25"/>
  <c r="A14" i="25"/>
  <c r="A15" i="25"/>
  <c r="A16" i="25"/>
  <c r="A17" i="25"/>
  <c r="A18" i="25"/>
  <c r="A19" i="25"/>
  <c r="A20" i="25"/>
  <c r="A21" i="25"/>
  <c r="A22" i="25"/>
  <c r="A23" i="25"/>
  <c r="A24" i="25"/>
  <c r="A25" i="25"/>
  <c r="A26" i="25"/>
  <c r="A27" i="25"/>
  <c r="A28" i="25"/>
  <c r="A29" i="25"/>
  <c r="A30" i="25"/>
  <c r="F43" i="25"/>
  <c r="A43" i="25"/>
  <c r="F42" i="25"/>
  <c r="A42" i="25"/>
  <c r="F41" i="25"/>
  <c r="A41" i="25"/>
  <c r="F40" i="25"/>
  <c r="A40" i="25"/>
  <c r="F39" i="25"/>
  <c r="A39" i="25"/>
  <c r="F38" i="25"/>
  <c r="A38" i="25"/>
  <c r="F37" i="25"/>
  <c r="A37" i="25"/>
  <c r="A36" i="25"/>
  <c r="F32" i="25"/>
  <c r="A35" i="25"/>
  <c r="F31" i="25"/>
  <c r="A34" i="25"/>
  <c r="F30" i="25"/>
  <c r="A33" i="25"/>
  <c r="F29" i="25"/>
  <c r="A32" i="25"/>
  <c r="F28" i="25"/>
  <c r="A31" i="25"/>
  <c r="F8" i="25"/>
  <c r="A8" i="25"/>
  <c r="F7" i="25"/>
  <c r="A7" i="25"/>
  <c r="F6" i="25"/>
  <c r="A6" i="25"/>
  <c r="F5" i="25"/>
  <c r="A5" i="25"/>
  <c r="F4" i="25"/>
  <c r="A4" i="25"/>
  <c r="F3" i="25"/>
  <c r="A3" i="25"/>
  <c r="F2" i="25"/>
  <c r="A2" i="25"/>
  <c r="F31" i="24"/>
  <c r="A31" i="24"/>
  <c r="F30" i="24"/>
  <c r="A30" i="24"/>
  <c r="F29" i="24"/>
  <c r="A29" i="24"/>
  <c r="F28" i="24"/>
  <c r="A28" i="24"/>
  <c r="F17" i="24"/>
  <c r="A17" i="24"/>
  <c r="F16" i="24"/>
  <c r="A16" i="24"/>
  <c r="F15" i="24"/>
  <c r="A15" i="24"/>
  <c r="F14" i="24"/>
  <c r="A14" i="24"/>
  <c r="F13" i="24"/>
  <c r="A13" i="24"/>
  <c r="F12" i="24"/>
  <c r="A12" i="24"/>
  <c r="A11" i="24"/>
  <c r="C10" i="24"/>
  <c r="D10" i="24" s="1"/>
  <c r="A10" i="24"/>
  <c r="D9" i="24"/>
  <c r="C9" i="24"/>
  <c r="A9" i="24"/>
  <c r="F8" i="24"/>
  <c r="A8" i="24"/>
  <c r="F7" i="24"/>
  <c r="A7" i="24"/>
  <c r="F6" i="24"/>
  <c r="A6" i="24"/>
  <c r="F5" i="24"/>
  <c r="A5" i="24"/>
  <c r="F4" i="24"/>
  <c r="A4" i="24"/>
  <c r="F3" i="24"/>
  <c r="F32" i="24" s="1"/>
  <c r="A3" i="24"/>
  <c r="F2" i="24"/>
  <c r="A2" i="24"/>
  <c r="E33" i="23"/>
  <c r="F21" i="23"/>
  <c r="A21" i="23"/>
  <c r="F20" i="23"/>
  <c r="A20" i="23"/>
  <c r="F19" i="23"/>
  <c r="A19" i="23"/>
  <c r="F18" i="23"/>
  <c r="A18" i="23"/>
  <c r="F17" i="23"/>
  <c r="A17" i="23"/>
  <c r="F16" i="23"/>
  <c r="A16" i="23"/>
  <c r="F15" i="23"/>
  <c r="A15" i="23"/>
  <c r="F14" i="23"/>
  <c r="A14" i="23"/>
  <c r="F13" i="23"/>
  <c r="A13" i="23"/>
  <c r="F12" i="23"/>
  <c r="A12" i="23"/>
  <c r="F11" i="23"/>
  <c r="A11" i="23"/>
  <c r="F10" i="23"/>
  <c r="A10" i="23"/>
  <c r="F9" i="23"/>
  <c r="A9" i="23"/>
  <c r="F8" i="23"/>
  <c r="A8" i="23"/>
  <c r="F7" i="23"/>
  <c r="A7" i="23"/>
  <c r="F6" i="23"/>
  <c r="A6" i="23"/>
  <c r="F5" i="23"/>
  <c r="A5" i="23"/>
  <c r="F4" i="23"/>
  <c r="A4" i="23"/>
  <c r="F3" i="23"/>
  <c r="A3" i="23"/>
  <c r="F2" i="23"/>
  <c r="F22" i="23" s="1"/>
  <c r="A2" i="23"/>
  <c r="E33" i="22"/>
  <c r="F21" i="22"/>
  <c r="A21" i="22"/>
  <c r="F20" i="22"/>
  <c r="A20" i="22"/>
  <c r="F19" i="22"/>
  <c r="A19" i="22"/>
  <c r="F18" i="22"/>
  <c r="A18" i="22"/>
  <c r="F17" i="22"/>
  <c r="A17" i="22"/>
  <c r="F16" i="22"/>
  <c r="A16" i="22"/>
  <c r="F15" i="22"/>
  <c r="A15" i="22"/>
  <c r="F14" i="22"/>
  <c r="A14" i="22"/>
  <c r="F13" i="22"/>
  <c r="A13" i="22"/>
  <c r="F12" i="22"/>
  <c r="A12" i="22"/>
  <c r="F11" i="22"/>
  <c r="A11" i="22"/>
  <c r="F10" i="22"/>
  <c r="A10" i="22"/>
  <c r="F9" i="22"/>
  <c r="A9" i="22"/>
  <c r="F8" i="22"/>
  <c r="A8" i="22"/>
  <c r="F7" i="22"/>
  <c r="A7" i="22"/>
  <c r="F6" i="22"/>
  <c r="A6" i="22"/>
  <c r="F5" i="22"/>
  <c r="A5" i="22"/>
  <c r="F4" i="22"/>
  <c r="A4" i="22"/>
  <c r="F3" i="22"/>
  <c r="F22" i="22" s="1"/>
  <c r="A3" i="22"/>
  <c r="F2" i="22"/>
  <c r="A2" i="22"/>
  <c r="F21" i="21"/>
  <c r="A21" i="21"/>
  <c r="F20" i="21"/>
  <c r="A20" i="21"/>
  <c r="F19" i="21"/>
  <c r="A19" i="21"/>
  <c r="F18" i="21"/>
  <c r="A18" i="21"/>
  <c r="F17" i="21"/>
  <c r="A17" i="21"/>
  <c r="F16" i="21"/>
  <c r="A16" i="21"/>
  <c r="F15" i="21"/>
  <c r="A15" i="21"/>
  <c r="F14" i="21"/>
  <c r="A14" i="21"/>
  <c r="F13" i="21"/>
  <c r="A13" i="21"/>
  <c r="F12" i="21"/>
  <c r="A12" i="21"/>
  <c r="F11" i="21"/>
  <c r="A11" i="21"/>
  <c r="F10" i="21"/>
  <c r="A10" i="21"/>
  <c r="F9" i="21"/>
  <c r="A9" i="21"/>
  <c r="F8" i="21"/>
  <c r="A8" i="21"/>
  <c r="F7" i="21"/>
  <c r="A7" i="21"/>
  <c r="F6" i="21"/>
  <c r="A6" i="21"/>
  <c r="F5" i="21"/>
  <c r="A5" i="21"/>
  <c r="F4" i="21"/>
  <c r="A4" i="21"/>
  <c r="F3" i="21"/>
  <c r="A3" i="21"/>
  <c r="F2" i="21"/>
  <c r="F22" i="21" s="1"/>
  <c r="A2" i="21"/>
  <c r="F22" i="20"/>
  <c r="F21" i="20"/>
  <c r="A21" i="20"/>
  <c r="F20" i="20"/>
  <c r="A20" i="20"/>
  <c r="F19" i="20"/>
  <c r="A19" i="20"/>
  <c r="F18" i="20"/>
  <c r="A18" i="20"/>
  <c r="F17" i="20"/>
  <c r="A17" i="20"/>
  <c r="F16" i="20"/>
  <c r="A16" i="20"/>
  <c r="F15" i="20"/>
  <c r="A15" i="20"/>
  <c r="F14" i="20"/>
  <c r="A14" i="20"/>
  <c r="F13" i="20"/>
  <c r="A13" i="20"/>
  <c r="F12" i="20"/>
  <c r="A12" i="20"/>
  <c r="F11" i="20"/>
  <c r="A11" i="20"/>
  <c r="F10" i="20"/>
  <c r="A10" i="20"/>
  <c r="F9" i="20"/>
  <c r="A9" i="20"/>
  <c r="F8" i="20"/>
  <c r="A8" i="20"/>
  <c r="F7" i="20"/>
  <c r="A7" i="20"/>
  <c r="F6" i="20"/>
  <c r="A6" i="20"/>
  <c r="F5" i="20"/>
  <c r="A5" i="20"/>
  <c r="F4" i="20"/>
  <c r="A4" i="20"/>
  <c r="F3" i="20"/>
  <c r="A3" i="20"/>
  <c r="F2" i="20"/>
  <c r="A2" i="20"/>
  <c r="F21" i="19"/>
  <c r="A21" i="19"/>
  <c r="F20" i="19"/>
  <c r="A20" i="19"/>
  <c r="F19" i="19"/>
  <c r="A19" i="19"/>
  <c r="F18" i="19"/>
  <c r="A18" i="19"/>
  <c r="F17" i="19"/>
  <c r="A17" i="19"/>
  <c r="F16" i="19"/>
  <c r="A16" i="19"/>
  <c r="F15" i="19"/>
  <c r="A15" i="19"/>
  <c r="F14" i="19"/>
  <c r="A14" i="19"/>
  <c r="F13" i="19"/>
  <c r="A13" i="19"/>
  <c r="F12" i="19"/>
  <c r="A12" i="19"/>
  <c r="F11" i="19"/>
  <c r="A11" i="19"/>
  <c r="F10" i="19"/>
  <c r="A10" i="19"/>
  <c r="F9" i="19"/>
  <c r="A9" i="19"/>
  <c r="F8" i="19"/>
  <c r="A8" i="19"/>
  <c r="F7" i="19"/>
  <c r="A7" i="19"/>
  <c r="F6" i="19"/>
  <c r="A6" i="19"/>
  <c r="F5" i="19"/>
  <c r="A5" i="19"/>
  <c r="F4" i="19"/>
  <c r="A4" i="19"/>
  <c r="F3" i="19"/>
  <c r="A3" i="19"/>
  <c r="F2" i="19"/>
  <c r="F22" i="19" s="1"/>
  <c r="A2" i="19"/>
  <c r="F22" i="18"/>
  <c r="F21" i="18"/>
  <c r="A21" i="18"/>
  <c r="F20" i="18"/>
  <c r="A20" i="18"/>
  <c r="F19" i="18"/>
  <c r="A19" i="18"/>
  <c r="F18" i="18"/>
  <c r="A18" i="18"/>
  <c r="F17" i="18"/>
  <c r="A17" i="18"/>
  <c r="F16" i="18"/>
  <c r="A16" i="18"/>
  <c r="F15" i="18"/>
  <c r="A15" i="18"/>
  <c r="F14" i="18"/>
  <c r="A14" i="18"/>
  <c r="F13" i="18"/>
  <c r="A13" i="18"/>
  <c r="F12" i="18"/>
  <c r="A12" i="18"/>
  <c r="F11" i="18"/>
  <c r="A11" i="18"/>
  <c r="F10" i="18"/>
  <c r="A10" i="18"/>
  <c r="F9" i="18"/>
  <c r="A9" i="18"/>
  <c r="F8" i="18"/>
  <c r="A8" i="18"/>
  <c r="F7" i="18"/>
  <c r="A7" i="18"/>
  <c r="F6" i="18"/>
  <c r="A6" i="18"/>
  <c r="F5" i="18"/>
  <c r="A5" i="18"/>
  <c r="F4" i="18"/>
  <c r="A4" i="18"/>
  <c r="F3" i="18"/>
  <c r="A3" i="18"/>
  <c r="F2" i="18"/>
  <c r="A2" i="18"/>
  <c r="C72" i="17"/>
  <c r="F21" i="17"/>
  <c r="A21" i="17"/>
  <c r="F20" i="17"/>
  <c r="A20" i="17"/>
  <c r="F19" i="17"/>
  <c r="A19" i="17"/>
  <c r="F18" i="17"/>
  <c r="A18" i="17"/>
  <c r="F17" i="17"/>
  <c r="A17" i="17"/>
  <c r="F16" i="17"/>
  <c r="A16" i="17"/>
  <c r="F15" i="17"/>
  <c r="A15" i="17"/>
  <c r="F14" i="17"/>
  <c r="A14" i="17"/>
  <c r="F13" i="17"/>
  <c r="A13" i="17"/>
  <c r="F12" i="17"/>
  <c r="A12" i="17"/>
  <c r="F11" i="17"/>
  <c r="A11" i="17"/>
  <c r="F10" i="17"/>
  <c r="A10" i="17"/>
  <c r="F9" i="17"/>
  <c r="A9" i="17"/>
  <c r="F8" i="17"/>
  <c r="A8" i="17"/>
  <c r="F7" i="17"/>
  <c r="A7" i="17"/>
  <c r="F6" i="17"/>
  <c r="A6" i="17"/>
  <c r="F5" i="17"/>
  <c r="A5" i="17"/>
  <c r="F4" i="17"/>
  <c r="A4" i="17"/>
  <c r="F3" i="17"/>
  <c r="A3" i="17"/>
  <c r="F2" i="17"/>
  <c r="F22" i="17" s="1"/>
  <c r="A2" i="17"/>
  <c r="F21" i="16"/>
  <c r="A21" i="16"/>
  <c r="F20" i="16"/>
  <c r="A20" i="16"/>
  <c r="F19" i="16"/>
  <c r="A19" i="16"/>
  <c r="F18" i="16"/>
  <c r="A18" i="16"/>
  <c r="F17" i="16"/>
  <c r="A17" i="16"/>
  <c r="F16" i="16"/>
  <c r="A16" i="16"/>
  <c r="F15" i="16"/>
  <c r="A15" i="16"/>
  <c r="F14" i="16"/>
  <c r="A14" i="16"/>
  <c r="F13" i="16"/>
  <c r="A13" i="16"/>
  <c r="F12" i="16"/>
  <c r="A12" i="16"/>
  <c r="F11" i="16"/>
  <c r="A11" i="16"/>
  <c r="F10" i="16"/>
  <c r="A10" i="16"/>
  <c r="F9" i="16"/>
  <c r="A9" i="16"/>
  <c r="F8" i="16"/>
  <c r="A8" i="16"/>
  <c r="F7" i="16"/>
  <c r="A7" i="16"/>
  <c r="F6" i="16"/>
  <c r="A6" i="16"/>
  <c r="F5" i="16"/>
  <c r="A5" i="16"/>
  <c r="F4" i="16"/>
  <c r="A4" i="16"/>
  <c r="F3" i="16"/>
  <c r="A3" i="16"/>
  <c r="F2" i="16"/>
  <c r="F22" i="16" s="1"/>
  <c r="A2" i="16"/>
  <c r="E70" i="15"/>
  <c r="E69" i="15"/>
  <c r="E68" i="15"/>
  <c r="E67" i="15"/>
  <c r="E66" i="15"/>
  <c r="E65" i="15"/>
  <c r="E64" i="15"/>
  <c r="E63" i="15"/>
  <c r="E62" i="15"/>
  <c r="F21" i="15"/>
  <c r="A21" i="15"/>
  <c r="F20" i="15"/>
  <c r="A20" i="15"/>
  <c r="F19" i="15"/>
  <c r="A19" i="15"/>
  <c r="F18" i="15"/>
  <c r="A18" i="15"/>
  <c r="F17" i="15"/>
  <c r="A17" i="15"/>
  <c r="F16" i="15"/>
  <c r="A16" i="15"/>
  <c r="F15" i="15"/>
  <c r="A15" i="15"/>
  <c r="F14" i="15"/>
  <c r="A14" i="15"/>
  <c r="F13" i="15"/>
  <c r="A13" i="15"/>
  <c r="F12" i="15"/>
  <c r="A12" i="15"/>
  <c r="F11" i="15"/>
  <c r="A11" i="15"/>
  <c r="F10" i="15"/>
  <c r="A10" i="15"/>
  <c r="F9" i="15"/>
  <c r="A9" i="15"/>
  <c r="F8" i="15"/>
  <c r="A8" i="15"/>
  <c r="F7" i="15"/>
  <c r="A7" i="15"/>
  <c r="F6" i="15"/>
  <c r="A6" i="15"/>
  <c r="F5" i="15"/>
  <c r="A5" i="15"/>
  <c r="F4" i="15"/>
  <c r="A4" i="15"/>
  <c r="F3" i="15"/>
  <c r="A3" i="15"/>
  <c r="F2" i="15"/>
  <c r="F22" i="15" s="1"/>
  <c r="A2" i="15"/>
  <c r="F22" i="14"/>
  <c r="F21" i="14"/>
  <c r="A21" i="14"/>
  <c r="F20" i="14"/>
  <c r="A20" i="14"/>
  <c r="F19" i="14"/>
  <c r="A19" i="14"/>
  <c r="F18" i="14"/>
  <c r="A18" i="14"/>
  <c r="F17" i="14"/>
  <c r="A17" i="14"/>
  <c r="F16" i="14"/>
  <c r="A16" i="14"/>
  <c r="F15" i="14"/>
  <c r="A15" i="14"/>
  <c r="F14" i="14"/>
  <c r="A14" i="14"/>
  <c r="F13" i="14"/>
  <c r="A13" i="14"/>
  <c r="F12" i="14"/>
  <c r="A12" i="14"/>
  <c r="F11" i="14"/>
  <c r="A11" i="14"/>
  <c r="F10" i="14"/>
  <c r="A10" i="14"/>
  <c r="F9" i="14"/>
  <c r="A9" i="14"/>
  <c r="F8" i="14"/>
  <c r="A8" i="14"/>
  <c r="F7" i="14"/>
  <c r="A7" i="14"/>
  <c r="F6" i="14"/>
  <c r="A6" i="14"/>
  <c r="F5" i="14"/>
  <c r="A5" i="14"/>
  <c r="F4" i="14"/>
  <c r="A4" i="14"/>
  <c r="F3" i="14"/>
  <c r="A3" i="14"/>
  <c r="F2" i="14"/>
  <c r="A2" i="14"/>
  <c r="C57" i="10"/>
  <c r="F21" i="10"/>
  <c r="A21" i="10"/>
  <c r="F20" i="10"/>
  <c r="A20" i="10"/>
  <c r="F19" i="10"/>
  <c r="A19" i="10"/>
  <c r="F18" i="10"/>
  <c r="A18" i="10"/>
  <c r="F17" i="10"/>
  <c r="A17" i="10"/>
  <c r="F16" i="10"/>
  <c r="A16" i="10"/>
  <c r="F15" i="10"/>
  <c r="A15" i="10"/>
  <c r="F14" i="10"/>
  <c r="A14" i="10"/>
  <c r="F13" i="10"/>
  <c r="A13" i="10"/>
  <c r="F12" i="10"/>
  <c r="A12" i="10"/>
  <c r="F11" i="10"/>
  <c r="A11" i="10"/>
  <c r="F10" i="10"/>
  <c r="A10" i="10"/>
  <c r="F9" i="10"/>
  <c r="A9" i="10"/>
  <c r="F8" i="10"/>
  <c r="A8" i="10"/>
  <c r="F7" i="10"/>
  <c r="A7" i="10"/>
  <c r="F6" i="10"/>
  <c r="A6" i="10"/>
  <c r="F5" i="10"/>
  <c r="A5" i="10"/>
  <c r="F4" i="10"/>
  <c r="F22" i="10" s="1"/>
  <c r="A4" i="10"/>
  <c r="F3" i="10"/>
  <c r="A3" i="10"/>
  <c r="F2" i="10"/>
  <c r="A2" i="10"/>
  <c r="C108" i="9"/>
  <c r="F22" i="9"/>
  <c r="F21" i="9"/>
  <c r="A21" i="9"/>
  <c r="F20" i="9"/>
  <c r="A20" i="9"/>
  <c r="F19" i="9"/>
  <c r="A19" i="9"/>
  <c r="F18" i="9"/>
  <c r="A18" i="9"/>
  <c r="F17" i="9"/>
  <c r="A17" i="9"/>
  <c r="F16" i="9"/>
  <c r="A16" i="9"/>
  <c r="F15" i="9"/>
  <c r="A15" i="9"/>
  <c r="F14" i="9"/>
  <c r="A14" i="9"/>
  <c r="F13" i="9"/>
  <c r="A13" i="9"/>
  <c r="F12" i="9"/>
  <c r="A12" i="9"/>
  <c r="F11" i="9"/>
  <c r="A11" i="9"/>
  <c r="F10" i="9"/>
  <c r="A10" i="9"/>
  <c r="F9" i="9"/>
  <c r="A9" i="9"/>
  <c r="F8" i="9"/>
  <c r="A8" i="9"/>
  <c r="F7" i="9"/>
  <c r="A7" i="9"/>
  <c r="F6" i="9"/>
  <c r="A6" i="9"/>
  <c r="F5" i="9"/>
  <c r="A5" i="9"/>
  <c r="F4" i="9"/>
  <c r="A4" i="9"/>
  <c r="F3" i="9"/>
  <c r="A3" i="9"/>
  <c r="F2" i="9"/>
  <c r="A2" i="9"/>
  <c r="F21" i="8"/>
  <c r="A21" i="8"/>
  <c r="F20" i="8"/>
  <c r="A20" i="8"/>
  <c r="F19" i="8"/>
  <c r="A19" i="8"/>
  <c r="F18" i="8"/>
  <c r="A18" i="8"/>
  <c r="F17" i="8"/>
  <c r="A17" i="8"/>
  <c r="F16" i="8"/>
  <c r="A16" i="8"/>
  <c r="F15" i="8"/>
  <c r="A15" i="8"/>
  <c r="F14" i="8"/>
  <c r="A14" i="8"/>
  <c r="F13" i="8"/>
  <c r="A13" i="8"/>
  <c r="F12" i="8"/>
  <c r="A12" i="8"/>
  <c r="F11" i="8"/>
  <c r="A11" i="8"/>
  <c r="F10" i="8"/>
  <c r="A10" i="8"/>
  <c r="F9" i="8"/>
  <c r="A9" i="8"/>
  <c r="F8" i="8"/>
  <c r="A8" i="8"/>
  <c r="F7" i="8"/>
  <c r="A7" i="8"/>
  <c r="F6" i="8"/>
  <c r="A6" i="8"/>
  <c r="F5" i="8"/>
  <c r="A5" i="8"/>
  <c r="F4" i="8"/>
  <c r="A4" i="8"/>
  <c r="F3" i="8"/>
  <c r="F22" i="8" s="1"/>
  <c r="A3" i="8"/>
  <c r="F2" i="8"/>
  <c r="A2" i="8"/>
  <c r="F21" i="7"/>
  <c r="A21" i="7"/>
  <c r="F20" i="7"/>
  <c r="A20" i="7"/>
  <c r="F19" i="7"/>
  <c r="A19" i="7"/>
  <c r="F18" i="7"/>
  <c r="A18" i="7"/>
  <c r="F17" i="7"/>
  <c r="A17" i="7"/>
  <c r="F16" i="7"/>
  <c r="A16" i="7"/>
  <c r="F15" i="7"/>
  <c r="A15" i="7"/>
  <c r="F14" i="7"/>
  <c r="A14" i="7"/>
  <c r="F13" i="7"/>
  <c r="A13" i="7"/>
  <c r="F12" i="7"/>
  <c r="A12" i="7"/>
  <c r="F11" i="7"/>
  <c r="A11" i="7"/>
  <c r="F10" i="7"/>
  <c r="A10" i="7"/>
  <c r="F9" i="7"/>
  <c r="A9" i="7"/>
  <c r="F8" i="7"/>
  <c r="A8" i="7"/>
  <c r="F7" i="7"/>
  <c r="A7" i="7"/>
  <c r="F6" i="7"/>
  <c r="A6" i="7"/>
  <c r="F5" i="7"/>
  <c r="A5" i="7"/>
  <c r="F4" i="7"/>
  <c r="A4" i="7"/>
  <c r="F3" i="7"/>
  <c r="F22" i="7" s="1"/>
  <c r="A3" i="7"/>
  <c r="F2" i="7"/>
  <c r="A2" i="7"/>
  <c r="F23" i="6"/>
  <c r="A22" i="6"/>
  <c r="A21" i="6"/>
  <c r="A20" i="6"/>
  <c r="A19" i="6"/>
  <c r="A18" i="6"/>
  <c r="A17" i="6"/>
  <c r="A16" i="6"/>
  <c r="A15" i="6"/>
  <c r="A14" i="6"/>
  <c r="A13" i="6"/>
  <c r="A12" i="6"/>
  <c r="A11" i="6"/>
  <c r="A10" i="6"/>
  <c r="A9" i="6"/>
  <c r="A8" i="6"/>
  <c r="A7" i="6"/>
  <c r="A6" i="6"/>
  <c r="A5" i="6"/>
  <c r="A4" i="6"/>
  <c r="A3" i="6"/>
  <c r="A2" i="6"/>
  <c r="F21" i="5"/>
  <c r="A21" i="5"/>
  <c r="F20" i="5"/>
  <c r="A20" i="5"/>
  <c r="F19" i="5"/>
  <c r="A19" i="5"/>
  <c r="F18" i="5"/>
  <c r="A18" i="5"/>
  <c r="F17" i="5"/>
  <c r="A17" i="5"/>
  <c r="F16" i="5"/>
  <c r="A16" i="5"/>
  <c r="F15" i="5"/>
  <c r="A15" i="5"/>
  <c r="F14" i="5"/>
  <c r="A14" i="5"/>
  <c r="F13" i="5"/>
  <c r="A13" i="5"/>
  <c r="F12" i="5"/>
  <c r="A12" i="5"/>
  <c r="F11" i="5"/>
  <c r="A11" i="5"/>
  <c r="F10" i="5"/>
  <c r="A10" i="5"/>
  <c r="F9" i="5"/>
  <c r="A9" i="5"/>
  <c r="F8" i="5"/>
  <c r="A8" i="5"/>
  <c r="F7" i="5"/>
  <c r="A7" i="5"/>
  <c r="F6" i="5"/>
  <c r="A6" i="5"/>
  <c r="F5" i="5"/>
  <c r="A5" i="5"/>
  <c r="F4" i="5"/>
  <c r="A4" i="5"/>
  <c r="F3" i="5"/>
  <c r="A3" i="5"/>
  <c r="F2" i="5"/>
  <c r="F22" i="5" s="1"/>
  <c r="A2" i="5"/>
  <c r="F21" i="4"/>
  <c r="A21" i="4"/>
  <c r="F20" i="4"/>
  <c r="A20" i="4"/>
  <c r="F19" i="4"/>
  <c r="A19" i="4"/>
  <c r="F18" i="4"/>
  <c r="A18" i="4"/>
  <c r="F17" i="4"/>
  <c r="A17" i="4"/>
  <c r="F16" i="4"/>
  <c r="A16" i="4"/>
  <c r="F15" i="4"/>
  <c r="A15" i="4"/>
  <c r="F14" i="4"/>
  <c r="A14" i="4"/>
  <c r="F13" i="4"/>
  <c r="A13" i="4"/>
  <c r="F12" i="4"/>
  <c r="A12" i="4"/>
  <c r="F11" i="4"/>
  <c r="A11" i="4"/>
  <c r="F10" i="4"/>
  <c r="A10" i="4"/>
  <c r="F9" i="4"/>
  <c r="A9" i="4"/>
  <c r="F8" i="4"/>
  <c r="A8" i="4"/>
  <c r="F7" i="4"/>
  <c r="F22" i="4" s="1"/>
  <c r="A7" i="4"/>
  <c r="F6" i="4"/>
  <c r="A6" i="4"/>
  <c r="F5" i="4"/>
  <c r="A5" i="4"/>
  <c r="F4" i="4"/>
  <c r="A4" i="4"/>
  <c r="F3" i="4"/>
  <c r="A3" i="4"/>
  <c r="F2" i="4"/>
  <c r="A2" i="4"/>
  <c r="F21" i="3"/>
  <c r="A21" i="3"/>
  <c r="F20" i="3"/>
  <c r="A20" i="3"/>
  <c r="F19" i="3"/>
  <c r="A19" i="3"/>
  <c r="F18" i="3"/>
  <c r="A18" i="3"/>
  <c r="F17" i="3"/>
  <c r="A17" i="3"/>
  <c r="F16" i="3"/>
  <c r="A16" i="3"/>
  <c r="F15" i="3"/>
  <c r="A15" i="3"/>
  <c r="F14" i="3"/>
  <c r="A14" i="3"/>
  <c r="F13" i="3"/>
  <c r="A13" i="3"/>
  <c r="F12" i="3"/>
  <c r="A12" i="3"/>
  <c r="F11" i="3"/>
  <c r="A11" i="3"/>
  <c r="F10" i="3"/>
  <c r="A10" i="3"/>
  <c r="F9" i="3"/>
  <c r="A9" i="3"/>
  <c r="F8" i="3"/>
  <c r="A8" i="3"/>
  <c r="F7" i="3"/>
  <c r="A7" i="3"/>
  <c r="F6" i="3"/>
  <c r="F22" i="3" s="1"/>
  <c r="A6" i="3"/>
  <c r="F5" i="3"/>
  <c r="A5" i="3"/>
  <c r="F4" i="3"/>
  <c r="A4" i="3"/>
  <c r="A3" i="3"/>
  <c r="A2" i="3"/>
  <c r="C44" i="2"/>
  <c r="F21" i="2"/>
  <c r="A21" i="2"/>
  <c r="F20" i="2"/>
  <c r="A20" i="2"/>
  <c r="F19" i="2"/>
  <c r="A19" i="2"/>
  <c r="F18" i="2"/>
  <c r="A18" i="2"/>
  <c r="F17" i="2"/>
  <c r="A17" i="2"/>
  <c r="F16" i="2"/>
  <c r="A16" i="2"/>
  <c r="F15" i="2"/>
  <c r="A15" i="2"/>
  <c r="F14" i="2"/>
  <c r="A14" i="2"/>
  <c r="F13" i="2"/>
  <c r="A13" i="2"/>
  <c r="F12" i="2"/>
  <c r="A12" i="2"/>
  <c r="F11" i="2"/>
  <c r="A11" i="2"/>
  <c r="F10" i="2"/>
  <c r="A10" i="2"/>
  <c r="F9" i="2"/>
  <c r="A9" i="2"/>
  <c r="F8" i="2"/>
  <c r="A8" i="2"/>
  <c r="F7" i="2"/>
  <c r="A7" i="2"/>
  <c r="F6" i="2"/>
  <c r="A6" i="2"/>
  <c r="F5" i="2"/>
  <c r="A5" i="2"/>
  <c r="F4" i="2"/>
  <c r="A4" i="2"/>
  <c r="F3" i="2"/>
  <c r="A3" i="2"/>
  <c r="F2" i="2"/>
  <c r="F22" i="2" s="1"/>
  <c r="A2" i="2"/>
  <c r="F21" i="1"/>
  <c r="A21" i="1"/>
  <c r="F20" i="1"/>
  <c r="A20" i="1"/>
  <c r="F19" i="1"/>
  <c r="A19" i="1"/>
  <c r="F18" i="1"/>
  <c r="A18" i="1"/>
  <c r="F17" i="1"/>
  <c r="A17" i="1"/>
  <c r="F16" i="1"/>
  <c r="A16" i="1"/>
  <c r="F15" i="1"/>
  <c r="A15" i="1"/>
  <c r="F14" i="1"/>
  <c r="A14" i="1"/>
  <c r="F13" i="1"/>
  <c r="A13" i="1"/>
  <c r="F12" i="1"/>
  <c r="A12" i="1"/>
  <c r="F11" i="1"/>
  <c r="A11" i="1"/>
  <c r="F10" i="1"/>
  <c r="A10" i="1"/>
  <c r="F9" i="1"/>
  <c r="A9" i="1"/>
  <c r="F8" i="1"/>
  <c r="A8" i="1"/>
  <c r="F7" i="1"/>
  <c r="A7" i="1"/>
  <c r="F6" i="1"/>
  <c r="A6" i="1"/>
  <c r="F5" i="1"/>
  <c r="A5" i="1"/>
  <c r="F4" i="1"/>
  <c r="A4" i="1"/>
  <c r="F3" i="1"/>
  <c r="A3" i="1"/>
  <c r="F2" i="1"/>
  <c r="F22" i="1" s="1"/>
  <c r="A2" i="1"/>
  <c r="F44" i="25" l="1"/>
</calcChain>
</file>

<file path=xl/sharedStrings.xml><?xml version="1.0" encoding="utf-8"?>
<sst xmlns="http://schemas.openxmlformats.org/spreadsheetml/2006/main" count="1201" uniqueCount="334">
  <si>
    <t xml:space="preserve">Sr. No. </t>
  </si>
  <si>
    <t>Activity</t>
  </si>
  <si>
    <t>Start Time</t>
  </si>
  <si>
    <t>End Time</t>
  </si>
  <si>
    <t>Planned Time</t>
  </si>
  <si>
    <t>Actual Time</t>
  </si>
  <si>
    <t xml:space="preserve">Status </t>
  </si>
  <si>
    <t>Published the Overnight Execution Reports of Bench 07.</t>
  </si>
  <si>
    <t>*Build number, SysUcom Version, CAN Whitelist and CID Version</t>
  </si>
  <si>
    <t>Auto-Flashing Analysis on Bench 07.</t>
  </si>
  <si>
    <t>Overnight Execution Analysis of Bench 07.</t>
  </si>
  <si>
    <t>Overnight execution failure re-execution of 1405 Dev on Bench 07.</t>
  </si>
  <si>
    <t>Verified build details with release note.</t>
  </si>
  <si>
    <t>Connected Bench 07 to Internal Jenkins Pipeline.</t>
  </si>
  <si>
    <t>Taken git pull/push on Bench 07.</t>
  </si>
  <si>
    <t>Performed Sanity on Bench 07.</t>
  </si>
  <si>
    <t>Checked missing resource popup on Bench 07.</t>
  </si>
  <si>
    <t>Connected Bench 07 to Jenkins Pipeline.</t>
  </si>
  <si>
    <t>Total</t>
  </si>
  <si>
    <t>Time</t>
  </si>
  <si>
    <t>Published the Overnight Execution Reports of Bench 07 for 1404 Rel and 1406 Dev Build.</t>
  </si>
  <si>
    <t>Auto-Flashing Analysis on Bench 07 for 1404 Rel and 1406 Dev Build.</t>
  </si>
  <si>
    <t>Overnight Execution Analysis of Bench 07 for 1404 Rel and 1406 Dev Build.</t>
  </si>
  <si>
    <t>Overnight execution failure re-execution of 1406 Dev Build on Bench 07.</t>
  </si>
  <si>
    <t>Uploaded Overnight execution failure re-execution evidence on SharePoint.</t>
  </si>
  <si>
    <t>Shared Overnight execution failure re-execution status with Leads.</t>
  </si>
  <si>
    <t>Verified build details with release note for 1405 Dev Build execution.</t>
  </si>
  <si>
    <t>Uploaded Overnight Execution Reports to GIT for Bench 07.</t>
  </si>
  <si>
    <t>Updated Overnight Failure Jira Ticket for Bench 07.</t>
  </si>
  <si>
    <t>Consolidated the Dobot Specifications Data and Shared with Leads.</t>
  </si>
  <si>
    <t>Worked on Reworked for New TS Development TS's.</t>
  </si>
  <si>
    <t>Updated DRT_Automation_Hardware_Issues.xlsx Sheet for Bench 07.</t>
  </si>
  <si>
    <t>Worked on Vehicle Simulator Scripts</t>
  </si>
  <si>
    <t>Modified and executed new development testscripts.</t>
  </si>
  <si>
    <t>Published the Overnight Execution Reports of Bench 06.</t>
  </si>
  <si>
    <t>Auto-Flashing Analysis on Bench 06.</t>
  </si>
  <si>
    <t>Overnight Execution Analysis of Bench 06.</t>
  </si>
  <si>
    <t>Verified build details with release note for Bench 06.</t>
  </si>
  <si>
    <t>Verified build details with release note for Bench 07.</t>
  </si>
  <si>
    <t>Uploaded Overnight Execution Reports to GIT for Bench 06.</t>
  </si>
  <si>
    <t>Raised Kite License Renewal Ticket for Bench 06.</t>
  </si>
  <si>
    <t>Taken git pull/push on Bench 06.</t>
  </si>
  <si>
    <t>Performed Sanity on Bench 06.</t>
  </si>
  <si>
    <t>Checked missing resource popup on Bench 06.</t>
  </si>
  <si>
    <t>Triggered overnight execution on Bench 06.</t>
  </si>
  <si>
    <t>Sent DSR and filled timelog.</t>
  </si>
  <si>
    <t>Triggered overnight execution on Bench 07.</t>
  </si>
  <si>
    <t>Tasks for March 21st 2025</t>
  </si>
  <si>
    <t>P1: B6 and B7 failure re-execution and share the results.(Upload ON reports on Git and evidences on SharePoint)</t>
  </si>
  <si>
    <t>P2: B7 audio issue root cause identification (actual source of volume for INT_016 and HLP_051), connect with manual team</t>
  </si>
  <si>
    <t xml:space="preserve">P3: PWF TS movement from B12 to B6 feasibility </t>
  </si>
  <si>
    <t>P4: Tickets update for Bench 6 and Bench 7 (yesterday's and today's execution)</t>
  </si>
  <si>
    <t>P5: New development(If not possible, drop a mail listing your tasks)</t>
  </si>
  <si>
    <t xml:space="preserve">P6: Sanity of Bench 6 and Bench 7 at 4 pm </t>
  </si>
  <si>
    <t>Flashed  1405 rel build on Bench 06.</t>
  </si>
  <si>
    <t>Flashed  1405 rel build on Bench 07.</t>
  </si>
  <si>
    <t>Failure re-execution on Bench 06.</t>
  </si>
  <si>
    <t>Failure re-execution on Bench 07.</t>
  </si>
  <si>
    <t>Uploaded re-execution result on SharePoint for Bench 06.</t>
  </si>
  <si>
    <t>Uploaded re-execution result on SharePoint for Bench 07.</t>
  </si>
  <si>
    <t>Updated Overnight Failure Jira Ticket for Bench 06.</t>
  </si>
  <si>
    <t>Actual source of volume for INT_016 and HLP_051 identification.</t>
  </si>
  <si>
    <t>Power Flow Test Script movement from Bench 12 to Bench 06 Feasiblity.</t>
  </si>
  <si>
    <t>Discussed about soft variant and hard variant and Flashed on Bench 06.</t>
  </si>
  <si>
    <t>Executed Power Flow and Lane Watch Camera Test Script on Bench 06.</t>
  </si>
  <si>
    <t>Helped in Tuner Desktop Automation task.</t>
  </si>
  <si>
    <t>Edited config file for Bench 06.</t>
  </si>
  <si>
    <t>Overnight Executio Failure discussion of Bench 06.</t>
  </si>
  <si>
    <t>Overnight Executio Failure discussion of Bench 07.</t>
  </si>
  <si>
    <t>Overnight execution failure fixation on Bench 06.</t>
  </si>
  <si>
    <t>Overnight execution failure fixation on Bench 07.</t>
  </si>
  <si>
    <t>Connected Bench 06 to official server.</t>
  </si>
  <si>
    <t>Connected Bench 07 to official server.</t>
  </si>
  <si>
    <t>Flashed FCP on Bench 10.</t>
  </si>
  <si>
    <t>1406 Dev:</t>
  </si>
  <si>
    <t>Test ID</t>
  </si>
  <si>
    <t>Status</t>
  </si>
  <si>
    <t>KPIT_TC_DRT_USB_065</t>
  </si>
  <si>
    <t>Pass</t>
  </si>
  <si>
    <t>Kite Issue</t>
  </si>
  <si>
    <t>KPIT_TC_DRT_USB_066</t>
  </si>
  <si>
    <t>KPIT_TC_DRT_INL_024</t>
  </si>
  <si>
    <t>KPIT_TC_DRT_INL_008</t>
  </si>
  <si>
    <t>KPIT_TC_DRT_LWC_001</t>
  </si>
  <si>
    <t>Test Env Issue</t>
  </si>
  <si>
    <t>KPIT_TC_DRT_LWC_002</t>
  </si>
  <si>
    <t>KPIT_TC_DRT_LWC_003</t>
  </si>
  <si>
    <t>KPIT_TC_DRT_LWC_004</t>
  </si>
  <si>
    <t>KPIT_TC_DRT_PKS_011</t>
  </si>
  <si>
    <t>1405 Rel:</t>
  </si>
  <si>
    <t>KPIT_TC_DRT_USB_134</t>
  </si>
  <si>
    <t>Fail</t>
  </si>
  <si>
    <t>MCU_DEBUG14333041595301</t>
  </si>
  <si>
    <t>Function Block Name</t>
  </si>
  <si>
    <t>Launch Dealer Diag Screen from System Screen</t>
  </si>
  <si>
    <t>Remove Favorite Channel if Set to First Preset Position_R_Variant</t>
  </si>
  <si>
    <t>Remove Favorite Channel if Set to Second Preset Position_R_Variant</t>
  </si>
  <si>
    <t>Remove Favorite Channel if Set to Third Preset Position_R_Variant</t>
  </si>
  <si>
    <t>Set Volume 20 on Tuner Screen</t>
  </si>
  <si>
    <t>Long Press Track down button on USB Video and Validate Fast Rewind Playback of Video1_Folder1 USB Video</t>
  </si>
  <si>
    <t>Long Press Track Down button for more duration on USB Video Screen and Validate Fast Rewind playback of USB Video Screen</t>
  </si>
  <si>
    <t>Long Press on Home Button on MCS in Dealer Diag Screen</t>
  </si>
  <si>
    <t>Bench 07:</t>
  </si>
  <si>
    <t>1406 Dev branch:</t>
  </si>
  <si>
    <t>Verified flashed build:</t>
  </si>
  <si>
    <t>Parameter</t>
  </si>
  <si>
    <t>Release Note</t>
  </si>
  <si>
    <t>Actual</t>
  </si>
  <si>
    <t>Build </t>
  </si>
  <si>
    <t>AEA1406D0.250317.1</t>
  </si>
  <si>
    <t>System uCom </t>
  </si>
  <si>
    <t>0CE1501</t>
  </si>
  <si>
    <t>CAN Whitelist</t>
  </si>
  <si>
    <t>CID Version</t>
  </si>
  <si>
    <t>Ver0.994</t>
  </si>
  <si>
    <t>Ver1.000</t>
  </si>
  <si>
    <t>Overnight execution reports uploaded on Git:</t>
  </si>
  <si>
    <t>1406 Dev Branch:</t>
  </si>
  <si>
    <t>Test Script ID</t>
  </si>
  <si>
    <t>Bench No.</t>
  </si>
  <si>
    <t>KPIT_DRT_TC_VEH_014</t>
  </si>
  <si>
    <t>Bench 11</t>
  </si>
  <si>
    <t>KPIT_DRT_TC_VEH_037</t>
  </si>
  <si>
    <t>KPIT_DRT_TC_VEH_035</t>
  </si>
  <si>
    <t>KPIT_DRT_TC_VEH_065</t>
  </si>
  <si>
    <t>KPIT_DRT_TC_VEH_056</t>
  </si>
  <si>
    <t>KPIT_DRT_TC_AVC_223</t>
  </si>
  <si>
    <t>Bench 07</t>
  </si>
  <si>
    <t>|</t>
  </si>
  <si>
    <t>Date</t>
  </si>
  <si>
    <t>Failure Category</t>
  </si>
  <si>
    <t>Sub-Category</t>
  </si>
  <si>
    <t>Root Cause</t>
  </si>
  <si>
    <t>Fixation</t>
  </si>
  <si>
    <t>28th March 2025(1405 Rel)</t>
  </si>
  <si>
    <t>Test Environment</t>
  </si>
  <si>
    <t>Network Issue</t>
  </si>
  <si>
    <t>Authentication with server failed popup displayed</t>
  </si>
  <si>
    <t>Executed Manually, Passed.</t>
  </si>
  <si>
    <t>One to one messages not displayed</t>
  </si>
  <si>
    <t>Observation</t>
  </si>
  <si>
    <t>30th March 2025(1400 Dev)</t>
  </si>
  <si>
    <t>Issue not observed.</t>
  </si>
  <si>
    <t>Failure Sub Category</t>
  </si>
  <si>
    <t>Details of failure</t>
  </si>
  <si>
    <t>Fixation Performed</t>
  </si>
  <si>
    <t>31st March 2025 (1406 Dev)</t>
  </si>
  <si>
    <t>Test_Env_Issue</t>
  </si>
  <si>
    <t>Automation Set up malfunction</t>
  </si>
  <si>
    <t>Honda_Lab9 is came before Honda_Lab5 on wifi list screen.</t>
  </si>
  <si>
    <t>Executed manually, Passed.
Handled wifi refresh logic in wifi connection precondition.</t>
  </si>
  <si>
    <t>Result</t>
  </si>
  <si>
    <t>1st April 2025 (1407 Dev)</t>
  </si>
  <si>
    <t>2nd April 2025 (1407 Dev)</t>
  </si>
  <si>
    <t xml:space="preserve"> </t>
  </si>
  <si>
    <t>3rd April 2025 (1407 Dev)</t>
  </si>
  <si>
    <t>DetailedReport_KPIT_TC_DRT_HLP_051_17.pdf</t>
  </si>
  <si>
    <t>DetailedReport_KPIT_TC_DRT_HLP_051.pdf</t>
  </si>
  <si>
    <t>KPIT_TC_DRT_HLP_051</t>
  </si>
  <si>
    <t>DetailedReport_KPIT_TC_DRT_INT_008_13.pdf</t>
  </si>
  <si>
    <t>DetailedReport_KPIT_TC_DRT_INT_008.pdf</t>
  </si>
  <si>
    <t>KPIT_TC_DRT_INT_008</t>
  </si>
  <si>
    <t>DetailedReport_KPIT_TC_DRT_INT_009_12.pdf</t>
  </si>
  <si>
    <t>DetailedReport_KPIT_TC_DRT_INT_009.pdf</t>
  </si>
  <si>
    <t>KPIT_TC_DRT_INT_009</t>
  </si>
  <si>
    <t>DetailedReport_KPIT_TC_DRT_INT_011_14.pdf</t>
  </si>
  <si>
    <t>DetailedReport_KPIT_TC_DRT_INT_011.pdf</t>
  </si>
  <si>
    <t>KPIT_TC_DRT_INT_011</t>
  </si>
  <si>
    <t>DetailedReport_KPIT_TC_DRT_INT_012_10.pdf</t>
  </si>
  <si>
    <t>DetailedReport_KPIT_TC_DRT_INT_012.pdf</t>
  </si>
  <si>
    <t>KPIT_TC_DRT_INT_012</t>
  </si>
  <si>
    <t>DetailedReport_KPIT_TC_DRT_INT_016_16.pdf</t>
  </si>
  <si>
    <t>DetailedReport_KPIT_TC_DRT_INT_016.pdf</t>
  </si>
  <si>
    <t>KPIT_TC_DRT_INT_016</t>
  </si>
  <si>
    <t>DetailedReport_KPIT_TC_DRT_INT_021_9.pdf</t>
  </si>
  <si>
    <t>DetailedReport_KPIT_TC_DRT_INT_021.pdf</t>
  </si>
  <si>
    <t>KPIT_TC_DRT_INT_021</t>
  </si>
  <si>
    <t>mkdir</t>
  </si>
  <si>
    <t>move</t>
  </si>
  <si>
    <t>DetailedReport_KPIT_TC_DRT_USB_134.pdf</t>
  </si>
  <si>
    <t>DetailedReport_KPIT_TC_DRT_AMFM_015.pdf</t>
  </si>
  <si>
    <t>KPIT_TC_DRT_AMFM_015</t>
  </si>
  <si>
    <t>Bench Number: Bench07_HATC(T)_REL</t>
  </si>
  <si>
    <t>Labels: Rel_2025-03-26</t>
  </si>
  <si>
    <t>Test Script</t>
  </si>
  <si>
    <t>Evidane</t>
  </si>
  <si>
    <t>Ket cone/ shared evi with MR</t>
  </si>
  <si>
    <t>AVC</t>
  </si>
  <si>
    <t>R var FB</t>
  </si>
  <si>
    <t>Overnight failure analysis for Bench06 and Bench07</t>
  </si>
  <si>
    <t>1. Overnight failure analysis for Bench06 and Bench07</t>
  </si>
  <si>
    <t>Overnight failure re-execution for Bench06 and Bench07</t>
  </si>
  <si>
    <t>2. Overnight failure re-execution for Bench06 and Bench07</t>
  </si>
  <si>
    <t>Discussion of overnight failures with Lead</t>
  </si>
  <si>
    <t>3. Discussion of overnight failures with Lead</t>
  </si>
  <si>
    <t>Internal JIRA Tickets Updating of Bench06 and Bench07</t>
  </si>
  <si>
    <t>4. Internal JIRA Tickets Updating of Bench06 and Bench07</t>
  </si>
  <si>
    <t>Calibration of Bench06 and Bench07</t>
  </si>
  <si>
    <t>5. Calibration of Bench06 and Bench07</t>
  </si>
  <si>
    <t>Bench Maintenance Activity of Bench06 and Bench07</t>
  </si>
  <si>
    <t>6. Bench Maintenance Activity of Bench06 and Bench07</t>
  </si>
  <si>
    <t>New Development Activity - TS Creation</t>
  </si>
  <si>
    <t>7. New Development Activity - TS Creation</t>
  </si>
  <si>
    <t>Build flashing on Bench06 and Bench07</t>
  </si>
  <si>
    <t>8. Build flashing on Bench06 and Bench07</t>
  </si>
  <si>
    <t>Sanity of Bench06 and Bench07</t>
  </si>
  <si>
    <t>9. Sanity of Bench06 and Bench07</t>
  </si>
  <si>
    <t>Flashed 1404 Dev UFS Build and Sysucom and CAN Whitelist on Bench 06.</t>
  </si>
  <si>
    <t>Executed Bench 09 IDS TS on Bench and check the behaviour.</t>
  </si>
  <si>
    <t>POC for Audio Power Off using Relay.</t>
  </si>
  <si>
    <t>Executed Bench 09 KEY TS on Bench and check the behaviour with Audio Power Off using Relay.</t>
  </si>
  <si>
    <t>Modified the Audio Power Off TS using Audio Power Off using Relay.</t>
  </si>
  <si>
    <t>Modified the config file for Bench 06.</t>
  </si>
  <si>
    <t>Flashed Latest 1407 Dev UFS Build and Sysucom and CAN Whitelist on Bench 06.</t>
  </si>
  <si>
    <t>1. Published the Overnight Execution Reports of Bench 06.</t>
  </si>
  <si>
    <t>2. Published the Overnight Execution Reports of Bench 07.</t>
  </si>
  <si>
    <t>3. Overnight Execution Analysis of Bench 06.</t>
  </si>
  <si>
    <t>4. Overnight Execution Analysis of Bench 07.</t>
  </si>
  <si>
    <t>5. Overnight execution failure fixation on Bench 06.</t>
  </si>
  <si>
    <t>6. Overnight execution failure fixation on Bench 07.</t>
  </si>
  <si>
    <t>7. Flashed 1404 Dev UFS Build and Sysucom and CAN Whitelist on Bench 06.</t>
  </si>
  <si>
    <t>8. Executed Bench 09 IDS TS on Bench and check the behaviour.</t>
  </si>
  <si>
    <t>9. POC for Audio Power Off using Relay.</t>
  </si>
  <si>
    <t>10. Executed Bench 09 KEY TS on Bench and check the behaviour with Audio Power Off using Relay.</t>
  </si>
  <si>
    <t>11. Modified the Audio Power Off TS using Audio Power Off using Relay.</t>
  </si>
  <si>
    <t>12. Modified the config file for Bench 06.</t>
  </si>
  <si>
    <t>13. Flashed Latest 1407 Dev UFS Build and Sysucom and CAN Whitelist on Bench 06.</t>
  </si>
  <si>
    <t>14. Taken git pull/push on Bench 06.</t>
  </si>
  <si>
    <t>15. Taken git pull/push on Bench 07.</t>
  </si>
  <si>
    <t>16. Performed Sanity on Bench 06.</t>
  </si>
  <si>
    <t>17. Performed Sanity on Bench 07.</t>
  </si>
  <si>
    <t>18. Connected Bench 06 to official server.</t>
  </si>
  <si>
    <t>19. Connected Bench 07 to official server.</t>
  </si>
  <si>
    <t>Publish Overnight Execution Reports.</t>
  </si>
  <si>
    <t>Overnight Execution Analysis.</t>
  </si>
  <si>
    <t>Overnight execution failure fixation.</t>
  </si>
  <si>
    <t>Check the behaviour of Bench 09 IDS TS on 1404 Dev Build.</t>
  </si>
  <si>
    <t>Modify Audio Power Off TS using Audio Power Off using Relay.</t>
  </si>
  <si>
    <t>Sanity on Bench06 &amp; Bench07.</t>
  </si>
  <si>
    <t>B06_14_30AA_R_KY_BZone</t>
  </si>
  <si>
    <t>KPIT_TC_FNC_BZA_0026_0001</t>
  </si>
  <si>
    <t>D-dev</t>
  </si>
  <si>
    <t>Automation-Ready For Review</t>
  </si>
  <si>
    <t>Bench 06</t>
  </si>
  <si>
    <t>USB might got disconnected, Video not available.</t>
  </si>
  <si>
    <t>B06_07_30AA_R_KY_DAB</t>
  </si>
  <si>
    <t>KPIT_TC_DRT_DAB_047</t>
  </si>
  <si>
    <t>Automation-Rework Completed</t>
  </si>
  <si>
    <t>Image comparision failed with 0%, for Cancle new device popup. Difference in  brightness observed in golden and actual image.</t>
  </si>
  <si>
    <t>B06_06_30AA_R_KY_AMFM</t>
  </si>
  <si>
    <t>Human Error</t>
  </si>
  <si>
    <t>ROI</t>
  </si>
  <si>
    <t>Resource ROI changed in Golden Image in Prod Repo, Hence Ok on Disclaimer Popup not clicked.</t>
  </si>
  <si>
    <t>KPIT_TC_DRT_AMFM_195</t>
  </si>
  <si>
    <t>KPIT_TC_DRT_AMFM_196</t>
  </si>
  <si>
    <t>KPIT_TC_DRT_DAB_048</t>
  </si>
  <si>
    <t>B06_01_30AA_R_KY_USB_Video</t>
  </si>
  <si>
    <t>KPIT_TC_DRT_USB_140</t>
  </si>
  <si>
    <t>B06_12_30AA_R_KY_INL</t>
  </si>
  <si>
    <t>KPIT_TC_DRT_INL_010</t>
  </si>
  <si>
    <t>External Hardware Set up malfunction</t>
  </si>
  <si>
    <t>IS_SECTION_PRESENT failed with 84%, Even if the section is present.</t>
  </si>
  <si>
    <t>B06_29_30AX_R_KY_KEY</t>
  </si>
  <si>
    <t>KPIT_TC_DRT_KEY_001</t>
  </si>
  <si>
    <t>Multi touch come down</t>
  </si>
  <si>
    <t>KPIT_TC_DRT_KEY_002</t>
  </si>
  <si>
    <t>KPIT_TC_DRT_KEY_013</t>
  </si>
  <si>
    <t>KPIT_TC_DRT_KEY_021</t>
  </si>
  <si>
    <t>KPIT_TC_DRT_KEY_022</t>
  </si>
  <si>
    <t>B06_23_30AA_R_KY_FM</t>
  </si>
  <si>
    <t>KPIT_TC_DRT_AMFM_157</t>
  </si>
  <si>
    <t>Can Signals for Seek Down Operation are not reflected properly.</t>
  </si>
  <si>
    <t xml:space="preserve">P1: Bench 7 failure Analysis and Failure re-execution on DEV build </t>
  </si>
  <si>
    <t>P2:</t>
  </si>
  <si>
    <t xml:space="preserve">P3: Bench 6 failure analysis and failure re-execution(Both dev and Rel build) </t>
  </si>
  <si>
    <t>P4: RCA on Bench 6 auto flashing issue in REL and DEV(Loading Failure)</t>
  </si>
  <si>
    <t>P5: JIRA ticket updation on the failures</t>
  </si>
  <si>
    <t>P6: Fixation on Bench 6 and Bench 7</t>
  </si>
  <si>
    <t>P6: IDS 4 TS unblocking on Bench 6</t>
  </si>
  <si>
    <t>P7: Sanity of Bench 6 and Bench 7</t>
  </si>
  <si>
    <t>Bench06 &amp; Bench07analysis and failure re-execution.</t>
  </si>
  <si>
    <t xml:space="preserve"> RCA on Bench 7 Inline diag issue during Autoflashing in REL build</t>
  </si>
  <si>
    <t>Bench 06 overnight failure fixation.</t>
  </si>
  <si>
    <t>Updated overnight failure jira tickets.</t>
  </si>
  <si>
    <t>IDS test script feasibility and development.</t>
  </si>
  <si>
    <t>Triggered INT pack for 10 iterations with video logs enabled by KITE and maker logs, teraterm logs.</t>
  </si>
  <si>
    <t>Published the Overnight Execution Reports of Bench06 and Bench07.</t>
  </si>
  <si>
    <t xml:space="preserve"> Overnight failure analysis for Bench02, Bench06 and Bench07</t>
  </si>
  <si>
    <t xml:space="preserve"> Overnight failure re-execution for Bench02, Bench06 and Bench07</t>
  </si>
  <si>
    <t xml:space="preserve"> Discussion of overnight failures with Lead</t>
  </si>
  <si>
    <t xml:space="preserve"> Internal JIRA Tickets Updating of Bench02, Bench06 and Bench07</t>
  </si>
  <si>
    <t xml:space="preserve"> TS Movement Activity: Bench05/08 to Bench06(IDS)</t>
  </si>
  <si>
    <t xml:space="preserve"> New Development Activity - TS Creation</t>
  </si>
  <si>
    <t xml:space="preserve"> Build flashing on Bench02, Bench06 and Bench07</t>
  </si>
  <si>
    <t xml:space="preserve"> Sanity of Bench02, Bench06, Bench09 and Bench07</t>
  </si>
  <si>
    <t>Overnight failure analysis for Bench01, Bench06 and Bench07.</t>
  </si>
  <si>
    <t>Overnight failure re-execution for Bench01, Bench06 and Bench07.</t>
  </si>
  <si>
    <t>Discussion of overnight failures with Lead.</t>
  </si>
  <si>
    <t>Build flashing on Bench06 and Bench07.</t>
  </si>
  <si>
    <t>Internal JIRA Tickets Updating of Bench01, Bench06 and Bench07.</t>
  </si>
  <si>
    <t>DSR sheet filling.</t>
  </si>
  <si>
    <t>Sanity of Bench01, Bench03 and Bench07.</t>
  </si>
  <si>
    <t>Published Overnight Execution Reports and Uploaded to GIT for 1406 REL build for Bench 07.</t>
  </si>
  <si>
    <t>Completed</t>
  </si>
  <si>
    <t>Auto-Flashing Analysis of 1406 REL build for Bench 07.</t>
  </si>
  <si>
    <t>Overnight Execution Analysis for 1406 REL build of Bench 07.</t>
  </si>
  <si>
    <t>Published Overnight Execution Reports and Uploaded to GIT for 1406 REL build for Bench 06.</t>
  </si>
  <si>
    <t>Auto-Flashing Analysis of 1406 REL build for Bench 06.</t>
  </si>
  <si>
    <t>Overnight Execution Analysis for 1406 REL build of Bench 06.</t>
  </si>
  <si>
    <t>Sync-up Meeting</t>
  </si>
  <si>
    <t>Bench01</t>
  </si>
  <si>
    <t>DEV</t>
  </si>
  <si>
    <t>in progress</t>
  </si>
  <si>
    <t>Published Overnight Execution Reports and Uploaded to GIT for 1407 DEV build for Bench 07.</t>
  </si>
  <si>
    <t>Bench06</t>
  </si>
  <si>
    <t>REL</t>
  </si>
  <si>
    <t>Auto-Flashing Analysis of 1407 DEV build for Bench 07.</t>
  </si>
  <si>
    <t>Overnight Execution Analysis for 1407 DEV build of Bench 07.</t>
  </si>
  <si>
    <t>Bench07</t>
  </si>
  <si>
    <t>Published Overnight Execution Reports and Uploaded to GIT for 1407 DEV build for Bench 06.</t>
  </si>
  <si>
    <t>Auto-Flashing Analysis of 1407 DEV build for Bench 06.</t>
  </si>
  <si>
    <t>Overnight Execution Analysis for 1407 DEV build of Bench 06.</t>
  </si>
  <si>
    <t>Published Overnight Execution Reports and Uploaded to GIT for 1407 DEV build for Bench 01.</t>
  </si>
  <si>
    <t>Auto-Flashing Analysis of 1407 DEV build for Bench 01.</t>
  </si>
  <si>
    <t>Overnight Execution Analysis for 1407 DEV build of Bench 01.</t>
  </si>
  <si>
    <t>Overnight Execution Failure re-execution for 1407 DEV build of Bench 01.</t>
  </si>
  <si>
    <t>Overnight Execution Failure re-execution for 1407 DEV build of Bench 06.</t>
  </si>
  <si>
    <t>Overnight Execution Failure re-execution for 1407 DEV build of Bench 07.</t>
  </si>
  <si>
    <t>Overnight Execution Failure re-execution for 1406 REL build of Bench 01.</t>
  </si>
  <si>
    <t>Overnight Execution Failure re-execution for 1406 REL build of Bench 06.</t>
  </si>
  <si>
    <t>Checked Bench 01 Audio Setup Issue.</t>
  </si>
  <si>
    <t>Create and update internal jira tickets.</t>
  </si>
  <si>
    <t>Discussed Overnight Execution Failure Analysis with Lead for 1406 REL build of Bench 07.</t>
  </si>
  <si>
    <t>In-Progress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</si>
</sst>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1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FF0000"/>
      <name val="Aptos Narrow"/>
      <family val="2"/>
      <scheme val="minor"/>
    </font>
    <font>
      <sz val="8"/>
      <color rgb="FF172B4D"/>
      <name val="Segoe UI"/>
      <family val="2"/>
    </font>
    <font>
      <sz val="11"/>
      <color rgb="FF172B4D"/>
      <name val="Segoe UI"/>
      <family val="2"/>
    </font>
    <font>
      <b/>
      <sz val="24"/>
      <color theme="1"/>
      <name val="Aptos Narrow"/>
      <family val="2"/>
      <scheme val="minor"/>
    </font>
    <font>
      <sz val="8"/>
      <color theme="1"/>
      <name val="Segoe UI"/>
      <family val="2"/>
    </font>
    <font>
      <sz val="11"/>
      <color theme="1"/>
      <name val="Segoe UI"/>
      <family val="2"/>
    </font>
    <font>
      <u/>
      <sz val="11"/>
      <color theme="10"/>
      <name val="Aptos Narrow"/>
      <family val="2"/>
      <scheme val="minor"/>
    </font>
    <font>
      <sz val="11"/>
      <color rgb="FFFF0000"/>
      <name val="Segoe UI"/>
      <family val="2"/>
    </font>
    <font>
      <sz val="8"/>
      <color rgb="FF44546F"/>
      <name val="Segoe UI"/>
      <family val="2"/>
    </font>
    <font>
      <b/>
      <sz val="13.5"/>
      <color rgb="FF172B4D"/>
      <name val="Segoe UI"/>
      <family val="2"/>
    </font>
    <font>
      <sz val="11"/>
      <color rgb="FFFF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00B050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1" fillId="0" borderId="0"/>
  </cellStyleXfs>
  <cellXfs count="99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64" fontId="1" fillId="2" borderId="3" xfId="0" applyNumberFormat="1" applyFont="1" applyFill="1" applyBorder="1" applyAlignment="1">
      <alignment horizontal="center"/>
    </xf>
    <xf numFmtId="164" fontId="1" fillId="2" borderId="2" xfId="0" applyNumberFormat="1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/>
    <xf numFmtId="164" fontId="0" fillId="3" borderId="6" xfId="0" applyNumberFormat="1" applyFill="1" applyBorder="1"/>
    <xf numFmtId="164" fontId="0" fillId="3" borderId="7" xfId="0" applyNumberFormat="1" applyFill="1" applyBorder="1"/>
    <xf numFmtId="164" fontId="0" fillId="3" borderId="8" xfId="0" applyNumberFormat="1" applyFill="1" applyBorder="1"/>
    <xf numFmtId="0" fontId="0" fillId="3" borderId="7" xfId="0" applyFill="1" applyBorder="1"/>
    <xf numFmtId="0" fontId="2" fillId="0" borderId="0" xfId="0" applyFont="1"/>
    <xf numFmtId="0" fontId="0" fillId="3" borderId="9" xfId="0" applyFill="1" applyBorder="1"/>
    <xf numFmtId="164" fontId="0" fillId="3" borderId="10" xfId="0" applyNumberFormat="1" applyFill="1" applyBorder="1"/>
    <xf numFmtId="0" fontId="0" fillId="3" borderId="10" xfId="0" applyFill="1" applyBorder="1"/>
    <xf numFmtId="0" fontId="0" fillId="3" borderId="9" xfId="0" applyFill="1" applyBorder="1" applyAlignment="1">
      <alignment wrapText="1"/>
    </xf>
    <xf numFmtId="164" fontId="0" fillId="3" borderId="11" xfId="0" applyNumberFormat="1" applyFill="1" applyBorder="1"/>
    <xf numFmtId="164" fontId="0" fillId="3" borderId="12" xfId="0" applyNumberFormat="1" applyFill="1" applyBorder="1"/>
    <xf numFmtId="164" fontId="0" fillId="3" borderId="13" xfId="0" applyNumberFormat="1" applyFill="1" applyBorder="1"/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wrapText="1"/>
    </xf>
    <xf numFmtId="164" fontId="1" fillId="3" borderId="14" xfId="0" applyNumberFormat="1" applyFont="1" applyFill="1" applyBorder="1" applyAlignment="1">
      <alignment wrapText="1"/>
    </xf>
    <xf numFmtId="164" fontId="1" fillId="3" borderId="2" xfId="0" applyNumberFormat="1" applyFont="1" applyFill="1" applyBorder="1" applyAlignment="1">
      <alignment wrapText="1"/>
    </xf>
    <xf numFmtId="164" fontId="1" fillId="3" borderId="4" xfId="0" applyNumberFormat="1" applyFont="1" applyFill="1" applyBorder="1"/>
    <xf numFmtId="0" fontId="0" fillId="3" borderId="2" xfId="0" applyFill="1" applyBorder="1"/>
    <xf numFmtId="0" fontId="3" fillId="4" borderId="2" xfId="0" applyFont="1" applyFill="1" applyBorder="1" applyAlignment="1">
      <alignment horizontal="center" vertical="center"/>
    </xf>
    <xf numFmtId="0" fontId="3" fillId="4" borderId="15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5" borderId="16" xfId="0" applyFont="1" applyFill="1" applyBorder="1" applyAlignment="1">
      <alignment vertical="center"/>
    </xf>
    <xf numFmtId="20" fontId="4" fillId="5" borderId="10" xfId="0" applyNumberFormat="1" applyFont="1" applyFill="1" applyBorder="1" applyAlignment="1">
      <alignment horizontal="center" vertical="center"/>
    </xf>
    <xf numFmtId="14" fontId="0" fillId="0" borderId="0" xfId="0" applyNumberFormat="1"/>
    <xf numFmtId="20" fontId="0" fillId="0" borderId="0" xfId="0" applyNumberFormat="1"/>
    <xf numFmtId="3" fontId="0" fillId="0" borderId="0" xfId="0" applyNumberFormat="1"/>
    <xf numFmtId="0" fontId="4" fillId="5" borderId="0" xfId="0" applyFont="1" applyFill="1" applyAlignment="1">
      <alignment vertical="center"/>
    </xf>
    <xf numFmtId="0" fontId="5" fillId="0" borderId="0" xfId="0" applyFont="1"/>
    <xf numFmtId="0" fontId="1" fillId="0" borderId="0" xfId="0" applyFont="1"/>
    <xf numFmtId="0" fontId="1" fillId="0" borderId="17" xfId="0" applyFont="1" applyBorder="1"/>
    <xf numFmtId="0" fontId="1" fillId="0" borderId="17" xfId="0" applyFont="1" applyBorder="1" applyAlignment="1">
      <alignment vertical="center" wrapText="1"/>
    </xf>
    <xf numFmtId="0" fontId="0" fillId="0" borderId="17" xfId="0" applyBorder="1" applyAlignment="1">
      <alignment vertical="center" wrapText="1"/>
    </xf>
    <xf numFmtId="49" fontId="0" fillId="0" borderId="17" xfId="0" applyNumberFormat="1" applyBorder="1" applyAlignment="1">
      <alignment vertical="center" wrapText="1"/>
    </xf>
    <xf numFmtId="0" fontId="6" fillId="0" borderId="17" xfId="0" applyFont="1" applyBorder="1"/>
    <xf numFmtId="164" fontId="0" fillId="3" borderId="18" xfId="0" applyNumberFormat="1" applyFill="1" applyBorder="1"/>
    <xf numFmtId="0" fontId="4" fillId="5" borderId="12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vertical="center"/>
    </xf>
    <xf numFmtId="20" fontId="4" fillId="5" borderId="12" xfId="0" applyNumberFormat="1" applyFont="1" applyFill="1" applyBorder="1" applyAlignment="1">
      <alignment horizontal="center" vertical="center"/>
    </xf>
    <xf numFmtId="0" fontId="1" fillId="0" borderId="17" xfId="0" applyFont="1" applyBorder="1" applyAlignment="1">
      <alignment horizontal="center" vertical="top"/>
    </xf>
    <xf numFmtId="0" fontId="0" fillId="0" borderId="17" xfId="0" applyBorder="1"/>
    <xf numFmtId="0" fontId="0" fillId="0" borderId="17" xfId="0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left" vertical="center" readingOrder="1"/>
    </xf>
    <xf numFmtId="0" fontId="0" fillId="0" borderId="0" xfId="0" applyAlignment="1">
      <alignment horizontal="left" vertical="center" indent="1"/>
    </xf>
    <xf numFmtId="0" fontId="4" fillId="5" borderId="10" xfId="0" applyFont="1" applyFill="1" applyBorder="1" applyAlignment="1">
      <alignment vertical="center"/>
    </xf>
    <xf numFmtId="0" fontId="4" fillId="5" borderId="12" xfId="0" applyFont="1" applyFill="1" applyBorder="1" applyAlignment="1">
      <alignment vertical="center"/>
    </xf>
    <xf numFmtId="0" fontId="9" fillId="0" borderId="0" xfId="0" applyFont="1"/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 wrapText="1"/>
    </xf>
    <xf numFmtId="49" fontId="0" fillId="0" borderId="0" xfId="0" applyNumberFormat="1"/>
    <xf numFmtId="0" fontId="0" fillId="0" borderId="16" xfId="0" applyBorder="1"/>
    <xf numFmtId="0" fontId="0" fillId="0" borderId="5" xfId="0" applyBorder="1"/>
    <xf numFmtId="0" fontId="0" fillId="0" borderId="9" xfId="0" applyBorder="1"/>
    <xf numFmtId="0" fontId="0" fillId="0" borderId="20" xfId="0" applyBorder="1"/>
    <xf numFmtId="0" fontId="12" fillId="0" borderId="0" xfId="0" applyFont="1" applyAlignment="1">
      <alignment vertical="center" wrapText="1"/>
    </xf>
    <xf numFmtId="0" fontId="4" fillId="0" borderId="9" xfId="0" applyFont="1" applyBorder="1"/>
    <xf numFmtId="0" fontId="6" fillId="0" borderId="0" xfId="0" applyFont="1"/>
    <xf numFmtId="0" fontId="13" fillId="0" borderId="0" xfId="0" applyFont="1"/>
    <xf numFmtId="0" fontId="11" fillId="0" borderId="0" xfId="1"/>
    <xf numFmtId="0" fontId="14" fillId="0" borderId="0" xfId="0" applyFont="1" applyAlignment="1">
      <alignment wrapText="1"/>
    </xf>
    <xf numFmtId="0" fontId="0" fillId="6" borderId="0" xfId="0" applyFill="1"/>
    <xf numFmtId="0" fontId="15" fillId="0" borderId="0" xfId="0" applyFont="1"/>
    <xf numFmtId="0" fontId="0" fillId="0" borderId="5" xfId="0" applyBorder="1" applyAlignment="1">
      <alignment vertical="top"/>
    </xf>
    <xf numFmtId="0" fontId="0" fillId="0" borderId="21" xfId="0" applyBorder="1"/>
    <xf numFmtId="0" fontId="4" fillId="5" borderId="22" xfId="0" applyFont="1" applyFill="1" applyBorder="1" applyAlignment="1">
      <alignment horizontal="center" vertical="center"/>
    </xf>
    <xf numFmtId="0" fontId="4" fillId="5" borderId="23" xfId="0" applyFont="1" applyFill="1" applyBorder="1" applyAlignment="1">
      <alignment vertical="center"/>
    </xf>
    <xf numFmtId="0" fontId="3" fillId="4" borderId="4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vertical="center"/>
    </xf>
    <xf numFmtId="0" fontId="4" fillId="5" borderId="13" xfId="0" applyFont="1" applyFill="1" applyBorder="1" applyAlignment="1">
      <alignment vertical="center"/>
    </xf>
    <xf numFmtId="0" fontId="0" fillId="3" borderId="7" xfId="0" applyFill="1" applyBorder="1" applyAlignment="1">
      <alignment horizontal="center" vertical="center"/>
    </xf>
    <xf numFmtId="164" fontId="1" fillId="2" borderId="3" xfId="0" applyNumberFormat="1" applyFont="1" applyFill="1" applyBorder="1" applyAlignment="1">
      <alignment horizontal="left" vertical="top"/>
    </xf>
    <xf numFmtId="164" fontId="1" fillId="2" borderId="2" xfId="0" applyNumberFormat="1" applyFont="1" applyFill="1" applyBorder="1" applyAlignment="1">
      <alignment horizontal="left" vertical="top"/>
    </xf>
    <xf numFmtId="0" fontId="1" fillId="2" borderId="4" xfId="0" applyFont="1" applyFill="1" applyBorder="1" applyAlignment="1">
      <alignment horizontal="left" vertical="top"/>
    </xf>
    <xf numFmtId="164" fontId="0" fillId="3" borderId="6" xfId="0" applyNumberFormat="1" applyFill="1" applyBorder="1" applyAlignment="1">
      <alignment horizontal="center" vertical="center"/>
    </xf>
    <xf numFmtId="164" fontId="0" fillId="3" borderId="7" xfId="0" applyNumberFormat="1" applyFill="1" applyBorder="1" applyAlignment="1">
      <alignment horizontal="center" vertical="center"/>
    </xf>
    <xf numFmtId="164" fontId="0" fillId="3" borderId="8" xfId="0" applyNumberFormat="1" applyFill="1" applyBorder="1" applyAlignment="1">
      <alignment horizontal="center" vertical="center"/>
    </xf>
    <xf numFmtId="164" fontId="0" fillId="3" borderId="10" xfId="0" applyNumberFormat="1" applyFill="1" applyBorder="1" applyAlignment="1">
      <alignment horizontal="center" vertical="center"/>
    </xf>
    <xf numFmtId="164" fontId="0" fillId="3" borderId="11" xfId="0" applyNumberFormat="1" applyFill="1" applyBorder="1" applyAlignment="1">
      <alignment horizontal="center" vertical="center"/>
    </xf>
    <xf numFmtId="164" fontId="0" fillId="3" borderId="12" xfId="0" applyNumberFormat="1" applyFill="1" applyBorder="1" applyAlignment="1">
      <alignment horizontal="center" vertical="center"/>
    </xf>
    <xf numFmtId="164" fontId="0" fillId="3" borderId="13" xfId="0" applyNumberFormat="1" applyFill="1" applyBorder="1" applyAlignment="1">
      <alignment horizontal="center" vertical="center"/>
    </xf>
    <xf numFmtId="0" fontId="1" fillId="0" borderId="0" xfId="0" applyFont="1"/>
    <xf numFmtId="0" fontId="0" fillId="0" borderId="0" xfId="0"/>
    <xf numFmtId="0" fontId="0" fillId="0" borderId="0" xfId="0" applyAlignment="1">
      <alignment horizontal="center"/>
    </xf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" xfId="0" applyBorder="1"/>
    <xf numFmtId="164" fontId="1" fillId="3" borderId="14" xfId="0" applyNumberFormat="1" applyFont="1" applyFill="1" applyBorder="1" applyAlignment="1">
      <alignment horizontal="center" vertical="center" wrapText="1"/>
    </xf>
    <xf numFmtId="164" fontId="1" fillId="3" borderId="2" xfId="0" applyNumberFormat="1" applyFont="1" applyFill="1" applyBorder="1" applyAlignment="1">
      <alignment horizontal="center" vertical="center" wrapText="1"/>
    </xf>
    <xf numFmtId="164" fontId="1" fillId="3" borderId="4" xfId="0" applyNumberFormat="1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27"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3"/>
  <sheetViews>
    <sheetView workbookViewId="0">
      <selection activeCell="G18" sqref="G18"/>
    </sheetView>
  </sheetViews>
  <sheetFormatPr defaultRowHeight="15" x14ac:dyDescent="0.25"/>
  <cols>
    <col min="1" max="1" width="6.7109375" bestFit="1" customWidth="1"/>
    <col min="2" max="2" width="56.7109375" customWidth="1"/>
    <col min="3" max="3" width="9.5703125" bestFit="1" customWidth="1"/>
    <col min="4" max="4" width="8.7109375" bestFit="1" customWidth="1"/>
    <col min="5" max="5" width="12.42578125" bestFit="1" customWidth="1"/>
    <col min="6" max="6" width="10.85546875" bestFit="1" customWidth="1"/>
    <col min="7" max="7" width="6.7109375" bestFit="1" customWidth="1"/>
  </cols>
  <sheetData>
    <row r="1" spans="1:9" ht="15.75" customHeight="1" thickBot="1" x14ac:dyDescent="0.3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2" t="s">
        <v>6</v>
      </c>
    </row>
    <row r="2" spans="1:9" x14ac:dyDescent="0.25">
      <c r="A2" s="6">
        <f t="shared" ref="A2:A21" si="0">ROW() - ROW($A$1)</f>
        <v>1</v>
      </c>
      <c r="B2" s="7" t="s">
        <v>7</v>
      </c>
      <c r="C2" s="8"/>
      <c r="D2" s="9"/>
      <c r="E2" s="9">
        <v>1.388888888888889E-2</v>
      </c>
      <c r="F2" s="10">
        <f t="shared" ref="F2:F21" si="1">D2-C2</f>
        <v>0</v>
      </c>
      <c r="G2" s="11"/>
      <c r="I2" s="12" t="s">
        <v>8</v>
      </c>
    </row>
    <row r="3" spans="1:9" x14ac:dyDescent="0.25">
      <c r="A3" s="6">
        <f t="shared" si="0"/>
        <v>2</v>
      </c>
      <c r="B3" s="13" t="s">
        <v>9</v>
      </c>
      <c r="C3" s="14"/>
      <c r="D3" s="10"/>
      <c r="E3" s="10">
        <v>1.7361111111111108E-2</v>
      </c>
      <c r="F3" s="10">
        <f t="shared" si="1"/>
        <v>0</v>
      </c>
      <c r="G3" s="11"/>
    </row>
    <row r="4" spans="1:9" x14ac:dyDescent="0.25">
      <c r="A4" s="6">
        <f t="shared" si="0"/>
        <v>3</v>
      </c>
      <c r="B4" s="15" t="s">
        <v>10</v>
      </c>
      <c r="C4" s="14"/>
      <c r="D4" s="10"/>
      <c r="E4" s="10">
        <v>6.9444444444444441E-3</v>
      </c>
      <c r="F4" s="10">
        <f t="shared" si="1"/>
        <v>0</v>
      </c>
      <c r="G4" s="11"/>
    </row>
    <row r="5" spans="1:9" x14ac:dyDescent="0.25">
      <c r="A5" s="6">
        <f t="shared" si="0"/>
        <v>4</v>
      </c>
      <c r="B5" s="13" t="s">
        <v>11</v>
      </c>
      <c r="C5" s="14"/>
      <c r="D5" s="10"/>
      <c r="E5" s="10">
        <v>4.1666666666666657E-2</v>
      </c>
      <c r="F5" s="10">
        <f t="shared" si="1"/>
        <v>0</v>
      </c>
      <c r="G5" s="11"/>
    </row>
    <row r="6" spans="1:9" x14ac:dyDescent="0.25">
      <c r="A6" s="6">
        <f t="shared" si="0"/>
        <v>5</v>
      </c>
      <c r="B6" s="16" t="s">
        <v>12</v>
      </c>
      <c r="C6" s="14"/>
      <c r="D6" s="10"/>
      <c r="E6" s="10"/>
      <c r="F6" s="10">
        <f t="shared" si="1"/>
        <v>0</v>
      </c>
      <c r="G6" s="11"/>
    </row>
    <row r="7" spans="1:9" x14ac:dyDescent="0.25">
      <c r="A7" s="6">
        <f t="shared" si="0"/>
        <v>6</v>
      </c>
      <c r="B7" s="13" t="s">
        <v>13</v>
      </c>
      <c r="C7" s="14"/>
      <c r="D7" s="10"/>
      <c r="E7" s="10"/>
      <c r="F7" s="10">
        <f t="shared" si="1"/>
        <v>0</v>
      </c>
      <c r="G7" s="11"/>
    </row>
    <row r="8" spans="1:9" x14ac:dyDescent="0.25">
      <c r="A8" s="6">
        <f t="shared" si="0"/>
        <v>7</v>
      </c>
      <c r="B8" s="16"/>
      <c r="C8" s="14"/>
      <c r="D8" s="10"/>
      <c r="E8" s="10"/>
      <c r="F8" s="14">
        <f t="shared" si="1"/>
        <v>0</v>
      </c>
      <c r="G8" s="11"/>
    </row>
    <row r="9" spans="1:9" x14ac:dyDescent="0.25">
      <c r="A9" s="6">
        <f t="shared" si="0"/>
        <v>8</v>
      </c>
      <c r="B9" s="16"/>
      <c r="C9" s="14"/>
      <c r="D9" s="10"/>
      <c r="E9" s="10"/>
      <c r="F9" s="10">
        <f t="shared" si="1"/>
        <v>0</v>
      </c>
      <c r="G9" s="11"/>
    </row>
    <row r="10" spans="1:9" x14ac:dyDescent="0.25">
      <c r="A10" s="6">
        <f t="shared" si="0"/>
        <v>9</v>
      </c>
      <c r="B10" s="16"/>
      <c r="C10" s="14"/>
      <c r="D10" s="10"/>
      <c r="E10" s="10"/>
      <c r="F10" s="10">
        <f t="shared" si="1"/>
        <v>0</v>
      </c>
      <c r="G10" s="11"/>
    </row>
    <row r="11" spans="1:9" x14ac:dyDescent="0.25">
      <c r="A11" s="6">
        <f t="shared" si="0"/>
        <v>10</v>
      </c>
      <c r="B11" s="16"/>
      <c r="C11" s="14"/>
      <c r="D11" s="17"/>
      <c r="E11" s="17"/>
      <c r="F11" s="10">
        <f t="shared" si="1"/>
        <v>0</v>
      </c>
      <c r="G11" s="11"/>
    </row>
    <row r="12" spans="1:9" x14ac:dyDescent="0.25">
      <c r="A12" s="6">
        <f t="shared" si="0"/>
        <v>11</v>
      </c>
      <c r="B12" s="16"/>
      <c r="C12" s="14"/>
      <c r="D12" s="17"/>
      <c r="E12" s="17"/>
      <c r="F12" s="10">
        <f t="shared" si="1"/>
        <v>0</v>
      </c>
      <c r="G12" s="11"/>
    </row>
    <row r="13" spans="1:9" x14ac:dyDescent="0.25">
      <c r="A13" s="6">
        <f t="shared" si="0"/>
        <v>12</v>
      </c>
      <c r="B13" s="16"/>
      <c r="C13" s="14"/>
      <c r="D13" s="17"/>
      <c r="E13" s="17"/>
      <c r="F13" s="10">
        <f t="shared" si="1"/>
        <v>0</v>
      </c>
      <c r="G13" s="11"/>
    </row>
    <row r="14" spans="1:9" x14ac:dyDescent="0.25">
      <c r="A14" s="6">
        <f t="shared" si="0"/>
        <v>13</v>
      </c>
      <c r="B14" s="16"/>
      <c r="C14" s="14"/>
      <c r="D14" s="17"/>
      <c r="E14" s="17"/>
      <c r="F14" s="10">
        <f t="shared" si="1"/>
        <v>0</v>
      </c>
      <c r="G14" s="11"/>
    </row>
    <row r="15" spans="1:9" x14ac:dyDescent="0.25">
      <c r="A15" s="6">
        <f t="shared" si="0"/>
        <v>14</v>
      </c>
      <c r="B15" s="16"/>
      <c r="C15" s="14"/>
      <c r="D15" s="17"/>
      <c r="E15" s="17"/>
      <c r="F15" s="10">
        <f t="shared" si="1"/>
        <v>0</v>
      </c>
      <c r="G15" s="11"/>
    </row>
    <row r="16" spans="1:9" x14ac:dyDescent="0.25">
      <c r="A16" s="6">
        <f t="shared" si="0"/>
        <v>15</v>
      </c>
      <c r="B16" s="16"/>
      <c r="C16" s="14"/>
      <c r="D16" s="17"/>
      <c r="E16" s="17"/>
      <c r="F16" s="10">
        <f t="shared" si="1"/>
        <v>0</v>
      </c>
      <c r="G16" s="11"/>
    </row>
    <row r="17" spans="1:7" x14ac:dyDescent="0.25">
      <c r="A17" s="6">
        <f t="shared" si="0"/>
        <v>16</v>
      </c>
      <c r="B17" s="16"/>
      <c r="C17" s="14"/>
      <c r="D17" s="17"/>
      <c r="E17" s="17"/>
      <c r="F17" s="10">
        <f t="shared" si="1"/>
        <v>0</v>
      </c>
      <c r="G17" s="11"/>
    </row>
    <row r="18" spans="1:7" x14ac:dyDescent="0.25">
      <c r="A18" s="6">
        <f t="shared" si="0"/>
        <v>17</v>
      </c>
      <c r="B18" s="16" t="s">
        <v>14</v>
      </c>
      <c r="C18" s="14"/>
      <c r="D18" s="17"/>
      <c r="E18" s="17"/>
      <c r="F18" s="10">
        <f t="shared" si="1"/>
        <v>0</v>
      </c>
      <c r="G18" s="11"/>
    </row>
    <row r="19" spans="1:7" x14ac:dyDescent="0.25">
      <c r="A19" s="6">
        <f t="shared" si="0"/>
        <v>18</v>
      </c>
      <c r="B19" s="16" t="s">
        <v>15</v>
      </c>
      <c r="C19" s="14"/>
      <c r="D19" s="17"/>
      <c r="E19" s="17"/>
      <c r="F19" s="10">
        <f t="shared" si="1"/>
        <v>0</v>
      </c>
      <c r="G19" s="11"/>
    </row>
    <row r="20" spans="1:7" x14ac:dyDescent="0.25">
      <c r="A20" s="6">
        <f t="shared" si="0"/>
        <v>19</v>
      </c>
      <c r="B20" s="16" t="s">
        <v>16</v>
      </c>
      <c r="C20" s="14"/>
      <c r="D20" s="17"/>
      <c r="E20" s="17"/>
      <c r="F20" s="10">
        <f t="shared" si="1"/>
        <v>0</v>
      </c>
      <c r="G20" s="11"/>
    </row>
    <row r="21" spans="1:7" ht="15.75" customHeight="1" thickBot="1" x14ac:dyDescent="0.3">
      <c r="A21" s="6">
        <f t="shared" si="0"/>
        <v>20</v>
      </c>
      <c r="B21" s="16" t="s">
        <v>17</v>
      </c>
      <c r="C21" s="18"/>
      <c r="D21" s="19"/>
      <c r="E21" s="17"/>
      <c r="F21" s="10">
        <f t="shared" si="1"/>
        <v>0</v>
      </c>
      <c r="G21" s="11"/>
    </row>
    <row r="22" spans="1:7" ht="15.75" customHeight="1" thickBot="1" x14ac:dyDescent="0.3">
      <c r="A22" s="20"/>
      <c r="B22" s="21" t="s">
        <v>18</v>
      </c>
      <c r="C22" s="22"/>
      <c r="D22" s="22"/>
      <c r="E22" s="23"/>
      <c r="F22" s="24">
        <f>SUM(F2:F21)</f>
        <v>0</v>
      </c>
      <c r="G22" s="25"/>
    </row>
    <row r="25" spans="1:7" ht="15.75" customHeight="1" thickBot="1" x14ac:dyDescent="0.3"/>
    <row r="26" spans="1:7" ht="15.75" customHeight="1" thickBot="1" x14ac:dyDescent="0.3">
      <c r="A26" s="26" t="s">
        <v>0</v>
      </c>
      <c r="B26" s="27" t="s">
        <v>1</v>
      </c>
      <c r="C26" s="26" t="s">
        <v>19</v>
      </c>
    </row>
    <row r="27" spans="1:7" x14ac:dyDescent="0.25">
      <c r="A27" s="28">
        <v>1</v>
      </c>
      <c r="B27" s="29"/>
      <c r="C27" s="30"/>
    </row>
    <row r="28" spans="1:7" x14ac:dyDescent="0.25">
      <c r="A28" s="28">
        <v>2</v>
      </c>
      <c r="B28" s="29"/>
      <c r="C28" s="30"/>
    </row>
    <row r="29" spans="1:7" x14ac:dyDescent="0.25">
      <c r="A29" s="28">
        <v>3</v>
      </c>
      <c r="B29" s="29"/>
      <c r="C29" s="30"/>
    </row>
    <row r="30" spans="1:7" x14ac:dyDescent="0.25">
      <c r="A30" s="28">
        <v>4</v>
      </c>
      <c r="B30" s="29"/>
      <c r="C30" s="30"/>
    </row>
    <row r="31" spans="1:7" x14ac:dyDescent="0.25">
      <c r="A31" s="28">
        <v>5</v>
      </c>
      <c r="B31" s="29"/>
      <c r="C31" s="30"/>
    </row>
    <row r="32" spans="1:7" x14ac:dyDescent="0.25">
      <c r="A32" s="28">
        <v>6</v>
      </c>
      <c r="B32" s="29"/>
      <c r="C32" s="30"/>
    </row>
    <row r="33" spans="1:3" x14ac:dyDescent="0.25">
      <c r="A33" s="28">
        <v>7</v>
      </c>
      <c r="B33" s="29"/>
      <c r="C33" s="30"/>
    </row>
    <row r="34" spans="1:3" x14ac:dyDescent="0.25">
      <c r="A34" s="28">
        <v>8</v>
      </c>
      <c r="B34" s="29"/>
      <c r="C34" s="30"/>
    </row>
    <row r="35" spans="1:3" x14ac:dyDescent="0.25">
      <c r="A35" s="28">
        <v>9</v>
      </c>
      <c r="B35" s="29"/>
      <c r="C35" s="30"/>
    </row>
    <row r="36" spans="1:3" x14ac:dyDescent="0.25">
      <c r="A36" s="28">
        <v>10</v>
      </c>
      <c r="B36" s="29"/>
      <c r="C36" s="30"/>
    </row>
    <row r="37" spans="1:3" x14ac:dyDescent="0.25">
      <c r="A37" s="28">
        <v>11</v>
      </c>
      <c r="B37" s="29"/>
      <c r="C37" s="30"/>
    </row>
    <row r="38" spans="1:3" x14ac:dyDescent="0.25">
      <c r="A38" s="28">
        <v>12</v>
      </c>
      <c r="B38" s="29"/>
      <c r="C38" s="30"/>
    </row>
    <row r="39" spans="1:3" x14ac:dyDescent="0.25">
      <c r="A39" s="28">
        <v>13</v>
      </c>
      <c r="B39" s="29"/>
      <c r="C39" s="30"/>
    </row>
    <row r="40" spans="1:3" x14ac:dyDescent="0.25">
      <c r="A40" s="28">
        <v>14</v>
      </c>
      <c r="B40" s="29"/>
      <c r="C40" s="30"/>
    </row>
    <row r="41" spans="1:3" x14ac:dyDescent="0.25">
      <c r="A41" s="28">
        <v>15</v>
      </c>
      <c r="B41" s="29"/>
      <c r="C41" s="30"/>
    </row>
    <row r="42" spans="1:3" x14ac:dyDescent="0.25">
      <c r="A42" s="28">
        <v>16</v>
      </c>
      <c r="B42" s="29"/>
      <c r="C42" s="30"/>
    </row>
    <row r="43" spans="1:3" x14ac:dyDescent="0.25">
      <c r="A43" s="28">
        <v>17</v>
      </c>
      <c r="B43" s="29"/>
      <c r="C43" s="3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8"/>
  <sheetViews>
    <sheetView topLeftCell="A10" workbookViewId="0">
      <selection activeCell="G20" sqref="G20"/>
    </sheetView>
  </sheetViews>
  <sheetFormatPr defaultRowHeight="15" x14ac:dyDescent="0.25"/>
  <cols>
    <col min="1" max="1" width="6.7109375" bestFit="1" customWidth="1"/>
    <col min="2" max="2" width="56.7109375" customWidth="1"/>
    <col min="3" max="3" width="9.5703125" bestFit="1" customWidth="1"/>
    <col min="4" max="4" width="8.7109375" bestFit="1" customWidth="1"/>
    <col min="5" max="5" width="12.42578125" bestFit="1" customWidth="1"/>
    <col min="6" max="6" width="10.85546875" bestFit="1" customWidth="1"/>
    <col min="7" max="7" width="6.7109375" bestFit="1" customWidth="1"/>
  </cols>
  <sheetData>
    <row r="1" spans="1:9" ht="15.75" customHeight="1" thickBot="1" x14ac:dyDescent="0.3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2" t="s">
        <v>6</v>
      </c>
    </row>
    <row r="2" spans="1:9" x14ac:dyDescent="0.25">
      <c r="A2" s="6">
        <f t="shared" ref="A2:A21" si="0">ROW() - ROW($A$1)</f>
        <v>1</v>
      </c>
      <c r="B2" s="7" t="s">
        <v>7</v>
      </c>
      <c r="C2" s="8">
        <v>0.38541666666666669</v>
      </c>
      <c r="D2" s="9">
        <v>0.40277777777777779</v>
      </c>
      <c r="E2" s="9">
        <v>1.388888888888889E-2</v>
      </c>
      <c r="F2" s="10">
        <f t="shared" ref="F2:F21" si="1">D2-C2</f>
        <v>1.7361111111111105E-2</v>
      </c>
      <c r="G2" s="11"/>
      <c r="I2" s="12" t="s">
        <v>8</v>
      </c>
    </row>
    <row r="3" spans="1:9" x14ac:dyDescent="0.25">
      <c r="A3" s="6">
        <f t="shared" si="0"/>
        <v>2</v>
      </c>
      <c r="B3" s="13" t="s">
        <v>9</v>
      </c>
      <c r="C3" s="14">
        <v>0.40277777777777779</v>
      </c>
      <c r="D3" s="10"/>
      <c r="E3" s="10">
        <v>1.7361111111111108E-2</v>
      </c>
      <c r="F3" s="10">
        <f t="shared" si="1"/>
        <v>-0.40277777777777779</v>
      </c>
      <c r="G3" s="11"/>
    </row>
    <row r="4" spans="1:9" x14ac:dyDescent="0.25">
      <c r="A4" s="6">
        <f t="shared" si="0"/>
        <v>3</v>
      </c>
      <c r="B4" s="15" t="s">
        <v>10</v>
      </c>
      <c r="C4" s="14"/>
      <c r="D4" s="10"/>
      <c r="E4" s="10">
        <v>6.9444444444444441E-3</v>
      </c>
      <c r="F4" s="10">
        <f t="shared" si="1"/>
        <v>0</v>
      </c>
      <c r="G4" s="11"/>
    </row>
    <row r="5" spans="1:9" x14ac:dyDescent="0.25">
      <c r="A5" s="6">
        <f t="shared" si="0"/>
        <v>4</v>
      </c>
      <c r="B5" s="13" t="s">
        <v>11</v>
      </c>
      <c r="C5" s="14"/>
      <c r="D5" s="10"/>
      <c r="E5" s="10">
        <v>4.1666666666666657E-2</v>
      </c>
      <c r="F5" s="10">
        <f t="shared" si="1"/>
        <v>0</v>
      </c>
      <c r="G5" s="11"/>
    </row>
    <row r="6" spans="1:9" x14ac:dyDescent="0.25">
      <c r="A6" s="6">
        <f t="shared" si="0"/>
        <v>5</v>
      </c>
      <c r="B6" s="16" t="s">
        <v>12</v>
      </c>
      <c r="C6" s="14"/>
      <c r="D6" s="10"/>
      <c r="E6" s="10"/>
      <c r="F6" s="10">
        <f t="shared" si="1"/>
        <v>0</v>
      </c>
      <c r="G6" s="11"/>
    </row>
    <row r="7" spans="1:9" x14ac:dyDescent="0.25">
      <c r="A7" s="6">
        <f t="shared" si="0"/>
        <v>6</v>
      </c>
      <c r="B7" s="13" t="s">
        <v>13</v>
      </c>
      <c r="C7" s="14"/>
      <c r="D7" s="10"/>
      <c r="E7" s="10"/>
      <c r="F7" s="10">
        <f t="shared" si="1"/>
        <v>0</v>
      </c>
      <c r="G7" s="11"/>
    </row>
    <row r="8" spans="1:9" x14ac:dyDescent="0.25">
      <c r="A8" s="6">
        <f t="shared" si="0"/>
        <v>7</v>
      </c>
      <c r="B8" s="16"/>
      <c r="C8" s="14"/>
      <c r="D8" s="10"/>
      <c r="E8" s="10"/>
      <c r="F8" s="14">
        <f t="shared" si="1"/>
        <v>0</v>
      </c>
      <c r="G8" s="11"/>
    </row>
    <row r="9" spans="1:9" x14ac:dyDescent="0.25">
      <c r="A9" s="6">
        <f t="shared" si="0"/>
        <v>8</v>
      </c>
      <c r="B9" s="16"/>
      <c r="C9" s="14"/>
      <c r="D9" s="10"/>
      <c r="E9" s="10"/>
      <c r="F9" s="10">
        <f t="shared" si="1"/>
        <v>0</v>
      </c>
      <c r="G9" s="11"/>
    </row>
    <row r="10" spans="1:9" x14ac:dyDescent="0.25">
      <c r="A10" s="6">
        <f t="shared" si="0"/>
        <v>9</v>
      </c>
      <c r="B10" s="16"/>
      <c r="C10" s="14"/>
      <c r="D10" s="10"/>
      <c r="E10" s="10"/>
      <c r="F10" s="10">
        <f t="shared" si="1"/>
        <v>0</v>
      </c>
      <c r="G10" s="11"/>
    </row>
    <row r="11" spans="1:9" x14ac:dyDescent="0.25">
      <c r="A11" s="6">
        <f t="shared" si="0"/>
        <v>10</v>
      </c>
      <c r="B11" s="16"/>
      <c r="C11" s="14"/>
      <c r="D11" s="17"/>
      <c r="E11" s="17"/>
      <c r="F11" s="10">
        <f t="shared" si="1"/>
        <v>0</v>
      </c>
      <c r="G11" s="11"/>
    </row>
    <row r="12" spans="1:9" x14ac:dyDescent="0.25">
      <c r="A12" s="6">
        <f t="shared" si="0"/>
        <v>11</v>
      </c>
      <c r="B12" s="16"/>
      <c r="C12" s="14"/>
      <c r="D12" s="17"/>
      <c r="E12" s="17"/>
      <c r="F12" s="10">
        <f t="shared" si="1"/>
        <v>0</v>
      </c>
      <c r="G12" s="11"/>
    </row>
    <row r="13" spans="1:9" x14ac:dyDescent="0.25">
      <c r="A13" s="6">
        <f t="shared" si="0"/>
        <v>12</v>
      </c>
      <c r="B13" s="16"/>
      <c r="C13" s="14"/>
      <c r="D13" s="17"/>
      <c r="E13" s="17"/>
      <c r="F13" s="10">
        <f t="shared" si="1"/>
        <v>0</v>
      </c>
      <c r="G13" s="11"/>
    </row>
    <row r="14" spans="1:9" x14ac:dyDescent="0.25">
      <c r="A14" s="6">
        <f t="shared" si="0"/>
        <v>13</v>
      </c>
      <c r="B14" s="16"/>
      <c r="C14" s="14"/>
      <c r="D14" s="17"/>
      <c r="E14" s="17"/>
      <c r="F14" s="10">
        <f t="shared" si="1"/>
        <v>0</v>
      </c>
      <c r="G14" s="11"/>
    </row>
    <row r="15" spans="1:9" x14ac:dyDescent="0.25">
      <c r="A15" s="6">
        <f t="shared" si="0"/>
        <v>14</v>
      </c>
      <c r="B15" s="16"/>
      <c r="C15" s="14"/>
      <c r="D15" s="17"/>
      <c r="E15" s="17"/>
      <c r="F15" s="10">
        <f t="shared" si="1"/>
        <v>0</v>
      </c>
      <c r="G15" s="11"/>
    </row>
    <row r="16" spans="1:9" x14ac:dyDescent="0.25">
      <c r="A16" s="6">
        <f t="shared" si="0"/>
        <v>15</v>
      </c>
      <c r="B16" s="16"/>
      <c r="C16" s="14"/>
      <c r="D16" s="17"/>
      <c r="E16" s="17"/>
      <c r="F16" s="10">
        <f t="shared" si="1"/>
        <v>0</v>
      </c>
      <c r="G16" s="11"/>
    </row>
    <row r="17" spans="1:7" x14ac:dyDescent="0.25">
      <c r="A17" s="6">
        <f t="shared" si="0"/>
        <v>16</v>
      </c>
      <c r="B17" s="16"/>
      <c r="C17" s="14"/>
      <c r="D17" s="17"/>
      <c r="E17" s="17"/>
      <c r="F17" s="10">
        <f t="shared" si="1"/>
        <v>0</v>
      </c>
      <c r="G17" s="11"/>
    </row>
    <row r="18" spans="1:7" x14ac:dyDescent="0.25">
      <c r="A18" s="6">
        <f t="shared" si="0"/>
        <v>17</v>
      </c>
      <c r="B18" s="16" t="s">
        <v>14</v>
      </c>
      <c r="C18" s="14"/>
      <c r="D18" s="17"/>
      <c r="E18" s="17"/>
      <c r="F18" s="10">
        <f t="shared" si="1"/>
        <v>0</v>
      </c>
      <c r="G18" s="11"/>
    </row>
    <row r="19" spans="1:7" x14ac:dyDescent="0.25">
      <c r="A19" s="6">
        <f t="shared" si="0"/>
        <v>18</v>
      </c>
      <c r="B19" s="16" t="s">
        <v>15</v>
      </c>
      <c r="C19" s="14"/>
      <c r="D19" s="17"/>
      <c r="E19" s="17"/>
      <c r="F19" s="10">
        <f t="shared" si="1"/>
        <v>0</v>
      </c>
      <c r="G19" s="11"/>
    </row>
    <row r="20" spans="1:7" x14ac:dyDescent="0.25">
      <c r="A20" s="6">
        <f t="shared" si="0"/>
        <v>19</v>
      </c>
      <c r="B20" s="16" t="s">
        <v>16</v>
      </c>
      <c r="C20" s="14"/>
      <c r="D20" s="17"/>
      <c r="E20" s="17"/>
      <c r="F20" s="10">
        <f t="shared" si="1"/>
        <v>0</v>
      </c>
      <c r="G20" s="11"/>
    </row>
    <row r="21" spans="1:7" ht="15.75" customHeight="1" thickBot="1" x14ac:dyDescent="0.3">
      <c r="A21" s="6">
        <f t="shared" si="0"/>
        <v>20</v>
      </c>
      <c r="B21" s="16" t="s">
        <v>17</v>
      </c>
      <c r="C21" s="18"/>
      <c r="D21" s="19"/>
      <c r="E21" s="17"/>
      <c r="F21" s="10">
        <f t="shared" si="1"/>
        <v>0</v>
      </c>
      <c r="G21" s="11"/>
    </row>
    <row r="22" spans="1:7" ht="15.75" customHeight="1" thickBot="1" x14ac:dyDescent="0.3">
      <c r="A22" s="20"/>
      <c r="B22" s="21" t="s">
        <v>18</v>
      </c>
      <c r="C22" s="22"/>
      <c r="D22" s="22"/>
      <c r="E22" s="23"/>
      <c r="F22" s="24">
        <f>SUM(F2:F21)</f>
        <v>-0.38541666666666669</v>
      </c>
      <c r="G22" s="25"/>
    </row>
    <row r="25" spans="1:7" ht="15.75" customHeight="1" thickBot="1" x14ac:dyDescent="0.3"/>
    <row r="26" spans="1:7" ht="15.75" customHeight="1" thickBot="1" x14ac:dyDescent="0.3">
      <c r="A26" s="26" t="s">
        <v>0</v>
      </c>
      <c r="B26" s="27" t="s">
        <v>1</v>
      </c>
      <c r="C26" s="26" t="s">
        <v>19</v>
      </c>
    </row>
    <row r="27" spans="1:7" x14ac:dyDescent="0.25">
      <c r="A27" s="28">
        <v>1</v>
      </c>
      <c r="B27" s="29" t="s">
        <v>20</v>
      </c>
      <c r="C27" s="30">
        <v>2.0833333333333329E-2</v>
      </c>
    </row>
    <row r="28" spans="1:7" x14ac:dyDescent="0.25">
      <c r="A28" s="28">
        <v>2</v>
      </c>
      <c r="B28" s="29" t="s">
        <v>21</v>
      </c>
      <c r="C28" s="30">
        <v>1.7361111111111108E-2</v>
      </c>
    </row>
    <row r="29" spans="1:7" x14ac:dyDescent="0.25">
      <c r="A29" s="28">
        <v>3</v>
      </c>
      <c r="B29" s="29" t="s">
        <v>22</v>
      </c>
      <c r="C29" s="30">
        <v>1.7361111111111108E-2</v>
      </c>
    </row>
    <row r="30" spans="1:7" x14ac:dyDescent="0.25">
      <c r="A30" s="28">
        <v>4</v>
      </c>
      <c r="B30" s="29" t="s">
        <v>23</v>
      </c>
      <c r="C30" s="30">
        <v>2.0833333333333329E-2</v>
      </c>
    </row>
    <row r="31" spans="1:7" x14ac:dyDescent="0.25">
      <c r="A31" s="28">
        <v>5</v>
      </c>
      <c r="B31" s="29" t="s">
        <v>24</v>
      </c>
      <c r="C31" s="30">
        <v>1.041666666666667E-2</v>
      </c>
    </row>
    <row r="32" spans="1:7" x14ac:dyDescent="0.25">
      <c r="A32" s="28">
        <v>6</v>
      </c>
      <c r="B32" s="29" t="s">
        <v>25</v>
      </c>
      <c r="C32" s="30">
        <v>6.9444444444444441E-3</v>
      </c>
    </row>
    <row r="33" spans="1:3" x14ac:dyDescent="0.25">
      <c r="A33" s="28">
        <v>7</v>
      </c>
      <c r="B33" s="29" t="s">
        <v>26</v>
      </c>
      <c r="C33" s="30">
        <v>6.9444444444444441E-3</v>
      </c>
    </row>
    <row r="34" spans="1:3" x14ac:dyDescent="0.25">
      <c r="A34" s="28">
        <v>8</v>
      </c>
      <c r="B34" s="29" t="s">
        <v>27</v>
      </c>
      <c r="C34" s="30">
        <v>1.7361111111111108E-2</v>
      </c>
    </row>
    <row r="35" spans="1:3" x14ac:dyDescent="0.25">
      <c r="A35" s="28">
        <v>9</v>
      </c>
      <c r="B35" s="29" t="s">
        <v>28</v>
      </c>
      <c r="C35" s="30">
        <v>2.0833333333333329E-2</v>
      </c>
    </row>
    <row r="36" spans="1:3" x14ac:dyDescent="0.25">
      <c r="A36" s="28">
        <v>10</v>
      </c>
      <c r="B36" s="29" t="s">
        <v>29</v>
      </c>
      <c r="C36" s="30">
        <v>4.1666666666666657E-2</v>
      </c>
    </row>
    <row r="37" spans="1:3" x14ac:dyDescent="0.25">
      <c r="A37" s="28">
        <v>11</v>
      </c>
      <c r="B37" s="29" t="s">
        <v>30</v>
      </c>
      <c r="C37" s="30">
        <v>6.25E-2</v>
      </c>
    </row>
    <row r="38" spans="1:3" x14ac:dyDescent="0.25">
      <c r="A38" s="28">
        <v>12</v>
      </c>
      <c r="B38" s="34" t="s">
        <v>31</v>
      </c>
      <c r="C38" s="30">
        <v>1.388888888888889E-2</v>
      </c>
    </row>
    <row r="39" spans="1:3" x14ac:dyDescent="0.25">
      <c r="A39" s="28">
        <v>13</v>
      </c>
      <c r="B39" s="29" t="s">
        <v>32</v>
      </c>
      <c r="C39" s="30">
        <v>4.1666666666666657E-2</v>
      </c>
    </row>
    <row r="40" spans="1:3" x14ac:dyDescent="0.25">
      <c r="A40" s="28">
        <v>14</v>
      </c>
      <c r="B40" s="29"/>
      <c r="C40" s="30"/>
    </row>
    <row r="41" spans="1:3" x14ac:dyDescent="0.25">
      <c r="A41" s="28">
        <v>15</v>
      </c>
      <c r="B41" s="29"/>
      <c r="C41" s="30"/>
    </row>
    <row r="42" spans="1:3" x14ac:dyDescent="0.25">
      <c r="A42" s="28">
        <v>16</v>
      </c>
      <c r="B42" s="29"/>
      <c r="C42" s="30"/>
    </row>
    <row r="43" spans="1:3" x14ac:dyDescent="0.25">
      <c r="A43" s="28">
        <v>17</v>
      </c>
      <c r="B43" s="29"/>
      <c r="C43" s="30"/>
    </row>
    <row r="44" spans="1:3" x14ac:dyDescent="0.25">
      <c r="C44" s="32">
        <f>SUM(C27:C43)</f>
        <v>0.29861111111111105</v>
      </c>
    </row>
    <row r="58" spans="1:4" x14ac:dyDescent="0.25">
      <c r="A58" s="31"/>
      <c r="B58" s="32"/>
      <c r="D58" s="33"/>
    </row>
    <row r="59" spans="1:4" x14ac:dyDescent="0.25">
      <c r="A59" s="31"/>
      <c r="B59" s="32"/>
      <c r="D59" s="33"/>
    </row>
    <row r="60" spans="1:4" x14ac:dyDescent="0.25">
      <c r="A60" s="31"/>
      <c r="B60" s="32"/>
      <c r="D60" s="33"/>
    </row>
    <row r="61" spans="1:4" x14ac:dyDescent="0.25">
      <c r="A61" s="31"/>
      <c r="B61" s="32"/>
      <c r="D61" s="33"/>
    </row>
    <row r="62" spans="1:4" x14ac:dyDescent="0.25">
      <c r="A62" s="31"/>
      <c r="B62" s="32"/>
      <c r="D62" s="33"/>
    </row>
    <row r="63" spans="1:4" x14ac:dyDescent="0.25">
      <c r="A63" s="31"/>
      <c r="B63" s="32"/>
      <c r="D63" s="33"/>
    </row>
    <row r="64" spans="1:4" x14ac:dyDescent="0.25">
      <c r="A64" s="31"/>
      <c r="B64" s="32"/>
      <c r="D64" s="33"/>
    </row>
    <row r="65" spans="1:4" x14ac:dyDescent="0.25">
      <c r="A65" s="31"/>
      <c r="B65" s="32"/>
      <c r="D65" s="33"/>
    </row>
    <row r="66" spans="1:4" x14ac:dyDescent="0.25">
      <c r="A66" s="31"/>
      <c r="B66" s="32"/>
      <c r="D66" s="33"/>
    </row>
    <row r="67" spans="1:4" x14ac:dyDescent="0.25">
      <c r="A67" s="31"/>
      <c r="B67" s="32"/>
      <c r="D67" s="33"/>
    </row>
    <row r="68" spans="1:4" x14ac:dyDescent="0.25">
      <c r="A68" s="31"/>
      <c r="B68" s="32"/>
      <c r="D68" s="3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3"/>
  <sheetViews>
    <sheetView workbookViewId="0">
      <selection activeCell="C2" sqref="C2"/>
    </sheetView>
  </sheetViews>
  <sheetFormatPr defaultRowHeight="15" x14ac:dyDescent="0.25"/>
  <cols>
    <col min="1" max="1" width="6.7109375" bestFit="1" customWidth="1"/>
    <col min="2" max="2" width="56.7109375" customWidth="1"/>
    <col min="3" max="3" width="9.5703125" bestFit="1" customWidth="1"/>
    <col min="4" max="4" width="8.7109375" bestFit="1" customWidth="1"/>
    <col min="5" max="5" width="12.42578125" bestFit="1" customWidth="1"/>
    <col min="6" max="6" width="10.85546875" bestFit="1" customWidth="1"/>
    <col min="7" max="7" width="6.7109375" bestFit="1" customWidth="1"/>
  </cols>
  <sheetData>
    <row r="1" spans="1:9" ht="15.75" customHeight="1" thickBot="1" x14ac:dyDescent="0.3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2" t="s">
        <v>6</v>
      </c>
    </row>
    <row r="2" spans="1:9" x14ac:dyDescent="0.25">
      <c r="A2" s="6">
        <f t="shared" ref="A2:A21" si="0">ROW() - ROW($A$1)</f>
        <v>1</v>
      </c>
      <c r="B2" s="7" t="s">
        <v>7</v>
      </c>
      <c r="C2" s="8"/>
      <c r="D2" s="9"/>
      <c r="E2" s="9">
        <v>1.388888888888889E-2</v>
      </c>
      <c r="F2" s="10">
        <v>1.041666666666667E-2</v>
      </c>
      <c r="G2" s="11"/>
      <c r="I2" s="35" t="s">
        <v>8</v>
      </c>
    </row>
    <row r="3" spans="1:9" x14ac:dyDescent="0.25">
      <c r="A3" s="6">
        <f t="shared" si="0"/>
        <v>2</v>
      </c>
      <c r="B3" s="15" t="s">
        <v>10</v>
      </c>
      <c r="C3" s="14"/>
      <c r="D3" s="10"/>
      <c r="E3" s="10">
        <v>1.7361111111111108E-2</v>
      </c>
      <c r="F3" s="10">
        <v>1.388888888888889E-2</v>
      </c>
      <c r="G3" s="11"/>
    </row>
    <row r="4" spans="1:9" x14ac:dyDescent="0.25">
      <c r="A4" s="6">
        <f t="shared" si="0"/>
        <v>3</v>
      </c>
      <c r="B4" s="15" t="s">
        <v>33</v>
      </c>
      <c r="C4" s="14">
        <v>0.44097222222222221</v>
      </c>
      <c r="D4" s="10"/>
      <c r="E4" s="10">
        <v>6.9444444444444441E-3</v>
      </c>
      <c r="F4" s="10">
        <f t="shared" ref="F4:F21" si="1">D4-C4</f>
        <v>-0.44097222222222221</v>
      </c>
      <c r="G4" s="11"/>
    </row>
    <row r="5" spans="1:9" x14ac:dyDescent="0.25">
      <c r="A5" s="6">
        <f t="shared" si="0"/>
        <v>4</v>
      </c>
      <c r="B5" s="13"/>
      <c r="C5" s="14"/>
      <c r="D5" s="10"/>
      <c r="E5" s="10">
        <v>4.1666666666666657E-2</v>
      </c>
      <c r="F5" s="10">
        <f t="shared" si="1"/>
        <v>0</v>
      </c>
      <c r="G5" s="11"/>
    </row>
    <row r="6" spans="1:9" x14ac:dyDescent="0.25">
      <c r="A6" s="6">
        <f t="shared" si="0"/>
        <v>5</v>
      </c>
      <c r="B6" s="16"/>
      <c r="C6" s="14"/>
      <c r="D6" s="10"/>
      <c r="E6" s="10"/>
      <c r="F6" s="10">
        <f t="shared" si="1"/>
        <v>0</v>
      </c>
      <c r="G6" s="11"/>
    </row>
    <row r="7" spans="1:9" x14ac:dyDescent="0.25">
      <c r="A7" s="6">
        <f t="shared" si="0"/>
        <v>6</v>
      </c>
      <c r="B7" s="13"/>
      <c r="C7" s="14"/>
      <c r="D7" s="10"/>
      <c r="E7" s="10"/>
      <c r="F7" s="10">
        <f t="shared" si="1"/>
        <v>0</v>
      </c>
      <c r="G7" s="11"/>
    </row>
    <row r="8" spans="1:9" x14ac:dyDescent="0.25">
      <c r="A8" s="6">
        <f t="shared" si="0"/>
        <v>7</v>
      </c>
      <c r="B8" s="16"/>
      <c r="C8" s="14"/>
      <c r="D8" s="10"/>
      <c r="E8" s="10"/>
      <c r="F8" s="14">
        <f t="shared" si="1"/>
        <v>0</v>
      </c>
      <c r="G8" s="11"/>
    </row>
    <row r="9" spans="1:9" x14ac:dyDescent="0.25">
      <c r="A9" s="6">
        <f t="shared" si="0"/>
        <v>8</v>
      </c>
      <c r="B9" s="16"/>
      <c r="C9" s="14"/>
      <c r="D9" s="10"/>
      <c r="E9" s="10"/>
      <c r="F9" s="10">
        <f t="shared" si="1"/>
        <v>0</v>
      </c>
      <c r="G9" s="11"/>
    </row>
    <row r="10" spans="1:9" x14ac:dyDescent="0.25">
      <c r="A10" s="6">
        <f t="shared" si="0"/>
        <v>9</v>
      </c>
      <c r="B10" s="16"/>
      <c r="C10" s="14"/>
      <c r="D10" s="10"/>
      <c r="E10" s="10"/>
      <c r="F10" s="10">
        <f t="shared" si="1"/>
        <v>0</v>
      </c>
      <c r="G10" s="11"/>
    </row>
    <row r="11" spans="1:9" x14ac:dyDescent="0.25">
      <c r="A11" s="6">
        <f t="shared" si="0"/>
        <v>10</v>
      </c>
      <c r="B11" s="16"/>
      <c r="C11" s="14"/>
      <c r="D11" s="17"/>
      <c r="E11" s="17"/>
      <c r="F11" s="10">
        <f t="shared" si="1"/>
        <v>0</v>
      </c>
      <c r="G11" s="11"/>
    </row>
    <row r="12" spans="1:9" x14ac:dyDescent="0.25">
      <c r="A12" s="6">
        <f t="shared" si="0"/>
        <v>11</v>
      </c>
      <c r="B12" s="16"/>
      <c r="C12" s="14"/>
      <c r="D12" s="17"/>
      <c r="E12" s="17"/>
      <c r="F12" s="10">
        <f t="shared" si="1"/>
        <v>0</v>
      </c>
      <c r="G12" s="11"/>
    </row>
    <row r="13" spans="1:9" x14ac:dyDescent="0.25">
      <c r="A13" s="6">
        <f t="shared" si="0"/>
        <v>12</v>
      </c>
      <c r="B13" s="16"/>
      <c r="C13" s="14"/>
      <c r="D13" s="17"/>
      <c r="E13" s="17"/>
      <c r="F13" s="10">
        <f t="shared" si="1"/>
        <v>0</v>
      </c>
      <c r="G13" s="11"/>
    </row>
    <row r="14" spans="1:9" x14ac:dyDescent="0.25">
      <c r="A14" s="6">
        <f t="shared" si="0"/>
        <v>13</v>
      </c>
      <c r="B14" s="16"/>
      <c r="C14" s="14"/>
      <c r="D14" s="17"/>
      <c r="E14" s="17"/>
      <c r="F14" s="10">
        <f t="shared" si="1"/>
        <v>0</v>
      </c>
      <c r="G14" s="11"/>
    </row>
    <row r="15" spans="1:9" x14ac:dyDescent="0.25">
      <c r="A15" s="6">
        <f t="shared" si="0"/>
        <v>14</v>
      </c>
      <c r="B15" s="16"/>
      <c r="C15" s="14"/>
      <c r="D15" s="17"/>
      <c r="E15" s="17"/>
      <c r="F15" s="10">
        <f t="shared" si="1"/>
        <v>0</v>
      </c>
      <c r="G15" s="11"/>
    </row>
    <row r="16" spans="1:9" x14ac:dyDescent="0.25">
      <c r="A16" s="6">
        <f t="shared" si="0"/>
        <v>15</v>
      </c>
      <c r="B16" s="16"/>
      <c r="C16" s="14"/>
      <c r="D16" s="17"/>
      <c r="E16" s="17"/>
      <c r="F16" s="10">
        <f t="shared" si="1"/>
        <v>0</v>
      </c>
      <c r="G16" s="11"/>
    </row>
    <row r="17" spans="1:7" x14ac:dyDescent="0.25">
      <c r="A17" s="6">
        <f t="shared" si="0"/>
        <v>16</v>
      </c>
      <c r="B17" s="16"/>
      <c r="C17" s="14"/>
      <c r="D17" s="17"/>
      <c r="E17" s="17"/>
      <c r="F17" s="10">
        <f t="shared" si="1"/>
        <v>0</v>
      </c>
      <c r="G17" s="11"/>
    </row>
    <row r="18" spans="1:7" x14ac:dyDescent="0.25">
      <c r="A18" s="6">
        <f t="shared" si="0"/>
        <v>17</v>
      </c>
      <c r="B18" s="16" t="s">
        <v>14</v>
      </c>
      <c r="C18" s="14"/>
      <c r="D18" s="17"/>
      <c r="E18" s="17"/>
      <c r="F18" s="10">
        <f t="shared" si="1"/>
        <v>0</v>
      </c>
      <c r="G18" s="11"/>
    </row>
    <row r="19" spans="1:7" x14ac:dyDescent="0.25">
      <c r="A19" s="6">
        <f t="shared" si="0"/>
        <v>18</v>
      </c>
      <c r="B19" s="16" t="s">
        <v>15</v>
      </c>
      <c r="C19" s="14"/>
      <c r="D19" s="17"/>
      <c r="E19" s="17"/>
      <c r="F19" s="10">
        <f t="shared" si="1"/>
        <v>0</v>
      </c>
      <c r="G19" s="11"/>
    </row>
    <row r="20" spans="1:7" x14ac:dyDescent="0.25">
      <c r="A20" s="6">
        <f t="shared" si="0"/>
        <v>19</v>
      </c>
      <c r="B20" s="16" t="s">
        <v>16</v>
      </c>
      <c r="C20" s="14"/>
      <c r="D20" s="17"/>
      <c r="E20" s="17"/>
      <c r="F20" s="10">
        <f t="shared" si="1"/>
        <v>0</v>
      </c>
      <c r="G20" s="11"/>
    </row>
    <row r="21" spans="1:7" ht="15.75" customHeight="1" thickBot="1" x14ac:dyDescent="0.3">
      <c r="A21" s="6">
        <f t="shared" si="0"/>
        <v>20</v>
      </c>
      <c r="B21" s="16" t="s">
        <v>17</v>
      </c>
      <c r="C21" s="18"/>
      <c r="D21" s="19"/>
      <c r="E21" s="17"/>
      <c r="F21" s="10">
        <f t="shared" si="1"/>
        <v>0</v>
      </c>
      <c r="G21" s="11"/>
    </row>
    <row r="22" spans="1:7" ht="15.75" customHeight="1" thickBot="1" x14ac:dyDescent="0.3">
      <c r="A22" s="20"/>
      <c r="B22" s="21" t="s">
        <v>18</v>
      </c>
      <c r="C22" s="22"/>
      <c r="D22" s="22"/>
      <c r="E22" s="23"/>
      <c r="F22" s="24">
        <f>SUM(F2:F21)</f>
        <v>-0.41666666666666663</v>
      </c>
      <c r="G22" s="25"/>
    </row>
    <row r="25" spans="1:7" ht="15.75" customHeight="1" thickBot="1" x14ac:dyDescent="0.3"/>
    <row r="26" spans="1:7" ht="15.75" customHeight="1" thickBot="1" x14ac:dyDescent="0.3">
      <c r="A26" s="26" t="s">
        <v>0</v>
      </c>
      <c r="B26" s="27" t="s">
        <v>1</v>
      </c>
      <c r="C26" s="26" t="s">
        <v>19</v>
      </c>
    </row>
    <row r="27" spans="1:7" x14ac:dyDescent="0.25">
      <c r="A27" s="28">
        <v>1</v>
      </c>
      <c r="B27" s="29"/>
      <c r="C27" s="30"/>
    </row>
    <row r="28" spans="1:7" x14ac:dyDescent="0.25">
      <c r="A28" s="28">
        <v>2</v>
      </c>
      <c r="B28" s="29"/>
      <c r="C28" s="30"/>
    </row>
    <row r="29" spans="1:7" x14ac:dyDescent="0.25">
      <c r="A29" s="28">
        <v>3</v>
      </c>
      <c r="B29" s="29"/>
      <c r="C29" s="30"/>
    </row>
    <row r="30" spans="1:7" x14ac:dyDescent="0.25">
      <c r="A30" s="28">
        <v>4</v>
      </c>
      <c r="B30" s="29"/>
      <c r="C30" s="30"/>
    </row>
    <row r="31" spans="1:7" x14ac:dyDescent="0.25">
      <c r="A31" s="28">
        <v>5</v>
      </c>
      <c r="B31" s="29"/>
      <c r="C31" s="30"/>
    </row>
    <row r="32" spans="1:7" x14ac:dyDescent="0.25">
      <c r="A32" s="28">
        <v>6</v>
      </c>
      <c r="B32" s="29"/>
      <c r="C32" s="30"/>
    </row>
    <row r="33" spans="1:3" x14ac:dyDescent="0.25">
      <c r="A33" s="28">
        <v>7</v>
      </c>
      <c r="B33" s="29"/>
      <c r="C33" s="30"/>
    </row>
    <row r="34" spans="1:3" x14ac:dyDescent="0.25">
      <c r="A34" s="28">
        <v>8</v>
      </c>
      <c r="B34" s="29"/>
      <c r="C34" s="30"/>
    </row>
    <row r="35" spans="1:3" x14ac:dyDescent="0.25">
      <c r="A35" s="28">
        <v>9</v>
      </c>
      <c r="B35" s="29"/>
      <c r="C35" s="30"/>
    </row>
    <row r="36" spans="1:3" x14ac:dyDescent="0.25">
      <c r="A36" s="28">
        <v>10</v>
      </c>
      <c r="B36" s="29"/>
      <c r="C36" s="30"/>
    </row>
    <row r="37" spans="1:3" x14ac:dyDescent="0.25">
      <c r="A37" s="28">
        <v>11</v>
      </c>
      <c r="B37" s="29"/>
      <c r="C37" s="30"/>
    </row>
    <row r="38" spans="1:3" x14ac:dyDescent="0.25">
      <c r="A38" s="28">
        <v>12</v>
      </c>
      <c r="B38" s="29"/>
      <c r="C38" s="30"/>
    </row>
    <row r="39" spans="1:3" x14ac:dyDescent="0.25">
      <c r="A39" s="28">
        <v>13</v>
      </c>
      <c r="B39" s="29"/>
      <c r="C39" s="30"/>
    </row>
    <row r="40" spans="1:3" x14ac:dyDescent="0.25">
      <c r="A40" s="28">
        <v>14</v>
      </c>
      <c r="B40" s="29"/>
      <c r="C40" s="30"/>
    </row>
    <row r="41" spans="1:3" x14ac:dyDescent="0.25">
      <c r="A41" s="28">
        <v>15</v>
      </c>
      <c r="B41" s="29"/>
      <c r="C41" s="30"/>
    </row>
    <row r="42" spans="1:3" x14ac:dyDescent="0.25">
      <c r="A42" s="28">
        <v>16</v>
      </c>
      <c r="B42" s="29"/>
      <c r="C42" s="30"/>
    </row>
    <row r="43" spans="1:3" x14ac:dyDescent="0.25">
      <c r="A43" s="28">
        <v>17</v>
      </c>
      <c r="B43" s="29"/>
      <c r="C43" s="3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8"/>
  <sheetViews>
    <sheetView topLeftCell="A11" workbookViewId="0">
      <selection activeCell="G18" sqref="G18"/>
    </sheetView>
  </sheetViews>
  <sheetFormatPr defaultRowHeight="15" x14ac:dyDescent="0.25"/>
  <cols>
    <col min="1" max="1" width="6.7109375" bestFit="1" customWidth="1"/>
    <col min="2" max="2" width="56.7109375" customWidth="1"/>
    <col min="3" max="3" width="9.5703125" bestFit="1" customWidth="1"/>
    <col min="4" max="4" width="8.7109375" bestFit="1" customWidth="1"/>
    <col min="5" max="5" width="12.42578125" bestFit="1" customWidth="1"/>
    <col min="6" max="6" width="10.85546875" bestFit="1" customWidth="1"/>
    <col min="7" max="7" width="6.7109375" bestFit="1" customWidth="1"/>
  </cols>
  <sheetData>
    <row r="1" spans="1:9" ht="15.75" customHeight="1" thickBot="1" x14ac:dyDescent="0.3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2" t="s">
        <v>6</v>
      </c>
    </row>
    <row r="2" spans="1:9" x14ac:dyDescent="0.25">
      <c r="A2" s="6">
        <f t="shared" ref="A2:A21" si="0">ROW() - ROW($A$1)</f>
        <v>1</v>
      </c>
      <c r="B2" s="7" t="s">
        <v>7</v>
      </c>
      <c r="C2" s="8">
        <v>0.3923611111111111</v>
      </c>
      <c r="D2" s="9">
        <v>0.40625</v>
      </c>
      <c r="E2" s="9">
        <v>1.388888888888889E-2</v>
      </c>
      <c r="F2" s="10">
        <f t="shared" ref="F2:F21" si="1">D2-C2</f>
        <v>1.3888888888888895E-2</v>
      </c>
      <c r="G2" s="11"/>
      <c r="I2" s="12" t="s">
        <v>8</v>
      </c>
    </row>
    <row r="3" spans="1:9" x14ac:dyDescent="0.25">
      <c r="A3" s="6">
        <f t="shared" si="0"/>
        <v>2</v>
      </c>
      <c r="B3" s="13" t="s">
        <v>9</v>
      </c>
      <c r="C3" s="14">
        <v>0.40625</v>
      </c>
      <c r="D3" s="10">
        <v>0.41319444444444442</v>
      </c>
      <c r="E3" s="10">
        <v>1.7361111111111108E-2</v>
      </c>
      <c r="F3" s="10">
        <f t="shared" si="1"/>
        <v>6.9444444444444198E-3</v>
      </c>
      <c r="G3" s="11"/>
    </row>
    <row r="4" spans="1:9" x14ac:dyDescent="0.25">
      <c r="A4" s="6">
        <f t="shared" si="0"/>
        <v>3</v>
      </c>
      <c r="B4" s="15" t="s">
        <v>10</v>
      </c>
      <c r="C4" s="14">
        <v>0.41319444444444442</v>
      </c>
      <c r="D4" s="10">
        <v>0.4236111111111111</v>
      </c>
      <c r="E4" s="10">
        <v>6.9444444444444441E-3</v>
      </c>
      <c r="F4" s="10">
        <f t="shared" si="1"/>
        <v>1.0416666666666685E-2</v>
      </c>
      <c r="G4" s="11"/>
    </row>
    <row r="5" spans="1:9" x14ac:dyDescent="0.25">
      <c r="A5" s="6">
        <f t="shared" si="0"/>
        <v>4</v>
      </c>
      <c r="B5" s="13" t="s">
        <v>11</v>
      </c>
      <c r="C5" s="14">
        <v>0.4236111111111111</v>
      </c>
      <c r="D5" s="10"/>
      <c r="E5" s="10">
        <v>4.1666666666666657E-2</v>
      </c>
      <c r="F5" s="10">
        <f t="shared" si="1"/>
        <v>-0.4236111111111111</v>
      </c>
      <c r="G5" s="11"/>
    </row>
    <row r="6" spans="1:9" x14ac:dyDescent="0.25">
      <c r="A6" s="6">
        <f t="shared" si="0"/>
        <v>5</v>
      </c>
      <c r="B6" s="16" t="s">
        <v>12</v>
      </c>
      <c r="C6" s="14"/>
      <c r="D6" s="10"/>
      <c r="E6" s="10"/>
      <c r="F6" s="10">
        <f t="shared" si="1"/>
        <v>0</v>
      </c>
      <c r="G6" s="11"/>
    </row>
    <row r="7" spans="1:9" x14ac:dyDescent="0.25">
      <c r="A7" s="6">
        <f t="shared" si="0"/>
        <v>6</v>
      </c>
      <c r="B7" s="13"/>
      <c r="C7" s="14"/>
      <c r="D7" s="10"/>
      <c r="E7" s="10"/>
      <c r="F7" s="10">
        <f t="shared" si="1"/>
        <v>0</v>
      </c>
      <c r="G7" s="11"/>
    </row>
    <row r="8" spans="1:9" x14ac:dyDescent="0.25">
      <c r="A8" s="6">
        <f t="shared" si="0"/>
        <v>7</v>
      </c>
      <c r="B8" s="16"/>
      <c r="C8" s="14"/>
      <c r="D8" s="10"/>
      <c r="E8" s="10"/>
      <c r="F8" s="14">
        <f t="shared" si="1"/>
        <v>0</v>
      </c>
      <c r="G8" s="11"/>
    </row>
    <row r="9" spans="1:9" x14ac:dyDescent="0.25">
      <c r="A9" s="6">
        <f t="shared" si="0"/>
        <v>8</v>
      </c>
      <c r="B9" s="16"/>
      <c r="C9" s="14"/>
      <c r="D9" s="10"/>
      <c r="E9" s="10"/>
      <c r="F9" s="10">
        <f t="shared" si="1"/>
        <v>0</v>
      </c>
      <c r="G9" s="11"/>
    </row>
    <row r="10" spans="1:9" x14ac:dyDescent="0.25">
      <c r="A10" s="6">
        <f t="shared" si="0"/>
        <v>9</v>
      </c>
      <c r="B10" s="16"/>
      <c r="C10" s="14"/>
      <c r="D10" s="10"/>
      <c r="E10" s="10"/>
      <c r="F10" s="10">
        <f t="shared" si="1"/>
        <v>0</v>
      </c>
      <c r="G10" s="11"/>
    </row>
    <row r="11" spans="1:9" x14ac:dyDescent="0.25">
      <c r="A11" s="6">
        <f t="shared" si="0"/>
        <v>10</v>
      </c>
      <c r="B11" s="16"/>
      <c r="C11" s="14"/>
      <c r="D11" s="17"/>
      <c r="E11" s="17"/>
      <c r="F11" s="10">
        <f t="shared" si="1"/>
        <v>0</v>
      </c>
      <c r="G11" s="11"/>
    </row>
    <row r="12" spans="1:9" x14ac:dyDescent="0.25">
      <c r="A12" s="6">
        <f t="shared" si="0"/>
        <v>11</v>
      </c>
      <c r="B12" s="16"/>
      <c r="C12" s="14"/>
      <c r="D12" s="17"/>
      <c r="E12" s="17"/>
      <c r="F12" s="10">
        <f t="shared" si="1"/>
        <v>0</v>
      </c>
      <c r="G12" s="11"/>
    </row>
    <row r="13" spans="1:9" x14ac:dyDescent="0.25">
      <c r="A13" s="6">
        <f t="shared" si="0"/>
        <v>12</v>
      </c>
      <c r="B13" s="16"/>
      <c r="C13" s="14"/>
      <c r="D13" s="17"/>
      <c r="E13" s="17"/>
      <c r="F13" s="10">
        <f t="shared" si="1"/>
        <v>0</v>
      </c>
      <c r="G13" s="11"/>
    </row>
    <row r="14" spans="1:9" x14ac:dyDescent="0.25">
      <c r="A14" s="6">
        <f t="shared" si="0"/>
        <v>13</v>
      </c>
      <c r="B14" s="16"/>
      <c r="C14" s="14"/>
      <c r="D14" s="17"/>
      <c r="E14" s="17"/>
      <c r="F14" s="10">
        <f t="shared" si="1"/>
        <v>0</v>
      </c>
      <c r="G14" s="11"/>
    </row>
    <row r="15" spans="1:9" x14ac:dyDescent="0.25">
      <c r="A15" s="6">
        <f t="shared" si="0"/>
        <v>14</v>
      </c>
      <c r="B15" s="16"/>
      <c r="C15" s="14"/>
      <c r="D15" s="17"/>
      <c r="E15" s="17"/>
      <c r="F15" s="10">
        <f t="shared" si="1"/>
        <v>0</v>
      </c>
      <c r="G15" s="11"/>
    </row>
    <row r="16" spans="1:9" x14ac:dyDescent="0.25">
      <c r="A16" s="6">
        <f t="shared" si="0"/>
        <v>15</v>
      </c>
      <c r="B16" s="16"/>
      <c r="C16" s="14"/>
      <c r="D16" s="17"/>
      <c r="E16" s="17"/>
      <c r="F16" s="10">
        <f t="shared" si="1"/>
        <v>0</v>
      </c>
      <c r="G16" s="11"/>
    </row>
    <row r="17" spans="1:7" x14ac:dyDescent="0.25">
      <c r="A17" s="6">
        <f t="shared" si="0"/>
        <v>16</v>
      </c>
      <c r="B17" s="16"/>
      <c r="C17" s="14"/>
      <c r="D17" s="17"/>
      <c r="E17" s="17"/>
      <c r="F17" s="10">
        <f t="shared" si="1"/>
        <v>0</v>
      </c>
      <c r="G17" s="11"/>
    </row>
    <row r="18" spans="1:7" x14ac:dyDescent="0.25">
      <c r="A18" s="6">
        <f t="shared" si="0"/>
        <v>17</v>
      </c>
      <c r="B18" s="16" t="s">
        <v>14</v>
      </c>
      <c r="C18" s="14"/>
      <c r="D18" s="17"/>
      <c r="E18" s="17"/>
      <c r="F18" s="10">
        <f t="shared" si="1"/>
        <v>0</v>
      </c>
      <c r="G18" s="11"/>
    </row>
    <row r="19" spans="1:7" x14ac:dyDescent="0.25">
      <c r="A19" s="6">
        <f t="shared" si="0"/>
        <v>18</v>
      </c>
      <c r="B19" s="16" t="s">
        <v>15</v>
      </c>
      <c r="C19" s="14"/>
      <c r="D19" s="17"/>
      <c r="E19" s="17"/>
      <c r="F19" s="10">
        <f t="shared" si="1"/>
        <v>0</v>
      </c>
      <c r="G19" s="11"/>
    </row>
    <row r="20" spans="1:7" x14ac:dyDescent="0.25">
      <c r="A20" s="6">
        <f t="shared" si="0"/>
        <v>19</v>
      </c>
      <c r="B20" s="16" t="s">
        <v>16</v>
      </c>
      <c r="C20" s="14"/>
      <c r="D20" s="17"/>
      <c r="E20" s="17"/>
      <c r="F20" s="10">
        <f t="shared" si="1"/>
        <v>0</v>
      </c>
      <c r="G20" s="11"/>
    </row>
    <row r="21" spans="1:7" ht="15.75" customHeight="1" thickBot="1" x14ac:dyDescent="0.3">
      <c r="A21" s="6">
        <f t="shared" si="0"/>
        <v>20</v>
      </c>
      <c r="B21" s="16" t="s">
        <v>17</v>
      </c>
      <c r="C21" s="18"/>
      <c r="D21" s="19"/>
      <c r="E21" s="17"/>
      <c r="F21" s="10">
        <f t="shared" si="1"/>
        <v>0</v>
      </c>
      <c r="G21" s="11"/>
    </row>
    <row r="22" spans="1:7" ht="15.75" customHeight="1" thickBot="1" x14ac:dyDescent="0.3">
      <c r="A22" s="20"/>
      <c r="B22" s="21" t="s">
        <v>18</v>
      </c>
      <c r="C22" s="22"/>
      <c r="D22" s="22"/>
      <c r="E22" s="23"/>
      <c r="F22" s="24">
        <f>SUM(F2:F21)</f>
        <v>-0.3923611111111111</v>
      </c>
      <c r="G22" s="25"/>
    </row>
    <row r="25" spans="1:7" ht="15.75" customHeight="1" thickBot="1" x14ac:dyDescent="0.3"/>
    <row r="26" spans="1:7" ht="15.75" customHeight="1" thickBot="1" x14ac:dyDescent="0.3">
      <c r="A26" s="26" t="s">
        <v>0</v>
      </c>
      <c r="B26" s="27" t="s">
        <v>1</v>
      </c>
      <c r="C26" s="26" t="s">
        <v>19</v>
      </c>
    </row>
    <row r="27" spans="1:7" x14ac:dyDescent="0.25">
      <c r="A27" s="28">
        <v>1</v>
      </c>
      <c r="B27" s="29"/>
      <c r="C27" s="30"/>
    </row>
    <row r="28" spans="1:7" x14ac:dyDescent="0.25">
      <c r="A28" s="28">
        <v>2</v>
      </c>
      <c r="B28" s="29"/>
      <c r="C28" s="30"/>
    </row>
    <row r="29" spans="1:7" x14ac:dyDescent="0.25">
      <c r="A29" s="28">
        <v>3</v>
      </c>
      <c r="B29" s="29"/>
      <c r="C29" s="30"/>
    </row>
    <row r="30" spans="1:7" x14ac:dyDescent="0.25">
      <c r="A30" s="28">
        <v>4</v>
      </c>
      <c r="B30" s="29"/>
      <c r="C30" s="30"/>
    </row>
    <row r="31" spans="1:7" x14ac:dyDescent="0.25">
      <c r="A31" s="28">
        <v>5</v>
      </c>
      <c r="B31" s="29"/>
      <c r="C31" s="30"/>
    </row>
    <row r="32" spans="1:7" x14ac:dyDescent="0.25">
      <c r="A32" s="28">
        <v>6</v>
      </c>
      <c r="B32" s="29"/>
      <c r="C32" s="30"/>
    </row>
    <row r="33" spans="1:3" x14ac:dyDescent="0.25">
      <c r="A33" s="28">
        <v>7</v>
      </c>
      <c r="B33" s="29"/>
      <c r="C33" s="30"/>
    </row>
    <row r="34" spans="1:3" x14ac:dyDescent="0.25">
      <c r="A34" s="28">
        <v>8</v>
      </c>
      <c r="B34" s="29"/>
      <c r="C34" s="30"/>
    </row>
    <row r="35" spans="1:3" x14ac:dyDescent="0.25">
      <c r="A35" s="28">
        <v>9</v>
      </c>
      <c r="B35" s="29"/>
      <c r="C35" s="30"/>
    </row>
    <row r="36" spans="1:3" x14ac:dyDescent="0.25">
      <c r="A36" s="28">
        <v>10</v>
      </c>
      <c r="B36" s="29"/>
      <c r="C36" s="30"/>
    </row>
    <row r="37" spans="1:3" x14ac:dyDescent="0.25">
      <c r="A37" s="28">
        <v>11</v>
      </c>
      <c r="B37" s="29"/>
      <c r="C37" s="30"/>
    </row>
    <row r="38" spans="1:3" x14ac:dyDescent="0.25">
      <c r="A38" s="28">
        <v>12</v>
      </c>
      <c r="B38" s="29"/>
      <c r="C38" s="30"/>
    </row>
    <row r="39" spans="1:3" x14ac:dyDescent="0.25">
      <c r="A39" s="28">
        <v>13</v>
      </c>
      <c r="B39" s="29"/>
      <c r="C39" s="30"/>
    </row>
    <row r="40" spans="1:3" x14ac:dyDescent="0.25">
      <c r="A40" s="28">
        <v>14</v>
      </c>
      <c r="B40" s="29"/>
      <c r="C40" s="30"/>
    </row>
    <row r="41" spans="1:3" x14ac:dyDescent="0.25">
      <c r="A41" s="28">
        <v>15</v>
      </c>
      <c r="B41" s="29"/>
      <c r="C41" s="30"/>
    </row>
    <row r="42" spans="1:3" x14ac:dyDescent="0.25">
      <c r="A42" s="28">
        <v>16</v>
      </c>
      <c r="B42" s="29"/>
      <c r="C42" s="30"/>
    </row>
    <row r="43" spans="1:3" x14ac:dyDescent="0.25">
      <c r="A43" s="28">
        <v>17</v>
      </c>
      <c r="B43" s="29"/>
      <c r="C43" s="30"/>
    </row>
    <row r="51" spans="2:4" x14ac:dyDescent="0.25">
      <c r="B51" s="36"/>
      <c r="D51" s="33"/>
    </row>
    <row r="52" spans="2:4" x14ac:dyDescent="0.25">
      <c r="B52" s="36"/>
      <c r="D52" s="33"/>
    </row>
    <row r="53" spans="2:4" x14ac:dyDescent="0.25">
      <c r="B53" s="36"/>
      <c r="D53" s="33"/>
    </row>
    <row r="54" spans="2:4" x14ac:dyDescent="0.25">
      <c r="B54" s="36"/>
    </row>
    <row r="55" spans="2:4" x14ac:dyDescent="0.25">
      <c r="D55" s="33"/>
    </row>
    <row r="56" spans="2:4" x14ac:dyDescent="0.25">
      <c r="D56" s="33"/>
    </row>
    <row r="57" spans="2:4" x14ac:dyDescent="0.25">
      <c r="D57" s="33"/>
    </row>
    <row r="58" spans="2:4" x14ac:dyDescent="0.25">
      <c r="D58" s="3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3"/>
  <sheetViews>
    <sheetView topLeftCell="A14" workbookViewId="0">
      <selection activeCell="B28" sqref="B28"/>
    </sheetView>
  </sheetViews>
  <sheetFormatPr defaultRowHeight="15" x14ac:dyDescent="0.25"/>
  <cols>
    <col min="1" max="1" width="6.7109375" bestFit="1" customWidth="1"/>
    <col min="2" max="2" width="56.7109375" customWidth="1"/>
    <col min="3" max="3" width="9.5703125" bestFit="1" customWidth="1"/>
    <col min="4" max="4" width="8.7109375" bestFit="1" customWidth="1"/>
    <col min="5" max="5" width="12.42578125" bestFit="1" customWidth="1"/>
    <col min="6" max="6" width="10.85546875" bestFit="1" customWidth="1"/>
    <col min="7" max="7" width="6.7109375" bestFit="1" customWidth="1"/>
  </cols>
  <sheetData>
    <row r="1" spans="1:9" ht="15.75" customHeight="1" thickBot="1" x14ac:dyDescent="0.3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2" t="s">
        <v>6</v>
      </c>
    </row>
    <row r="2" spans="1:9" x14ac:dyDescent="0.25">
      <c r="A2" s="6">
        <f t="shared" ref="A2:A21" si="0">ROW() - ROW($A$1)</f>
        <v>1</v>
      </c>
      <c r="B2" s="7" t="s">
        <v>7</v>
      </c>
      <c r="C2" s="8"/>
      <c r="D2" s="9"/>
      <c r="E2" s="9">
        <v>1.388888888888889E-2</v>
      </c>
      <c r="F2" s="10">
        <f t="shared" ref="F2:F21" si="1">D2-C2</f>
        <v>0</v>
      </c>
      <c r="G2" s="11"/>
      <c r="I2" s="12" t="s">
        <v>8</v>
      </c>
    </row>
    <row r="3" spans="1:9" x14ac:dyDescent="0.25">
      <c r="A3" s="6">
        <f t="shared" si="0"/>
        <v>2</v>
      </c>
      <c r="B3" s="13" t="s">
        <v>9</v>
      </c>
      <c r="C3" s="14"/>
      <c r="D3" s="10"/>
      <c r="E3" s="10">
        <v>1.7361111111111108E-2</v>
      </c>
      <c r="F3" s="10">
        <f t="shared" si="1"/>
        <v>0</v>
      </c>
      <c r="G3" s="11"/>
    </row>
    <row r="4" spans="1:9" x14ac:dyDescent="0.25">
      <c r="A4" s="6">
        <f t="shared" si="0"/>
        <v>3</v>
      </c>
      <c r="B4" s="15" t="s">
        <v>10</v>
      </c>
      <c r="C4" s="14"/>
      <c r="D4" s="10"/>
      <c r="E4" s="10">
        <v>6.9444444444444441E-3</v>
      </c>
      <c r="F4" s="10">
        <f t="shared" si="1"/>
        <v>0</v>
      </c>
      <c r="G4" s="11"/>
    </row>
    <row r="5" spans="1:9" x14ac:dyDescent="0.25">
      <c r="A5" s="6">
        <f t="shared" si="0"/>
        <v>4</v>
      </c>
      <c r="B5" s="13" t="s">
        <v>11</v>
      </c>
      <c r="C5" s="14"/>
      <c r="D5" s="10"/>
      <c r="E5" s="10">
        <v>4.1666666666666657E-2</v>
      </c>
      <c r="F5" s="10">
        <f t="shared" si="1"/>
        <v>0</v>
      </c>
      <c r="G5" s="11"/>
    </row>
    <row r="6" spans="1:9" x14ac:dyDescent="0.25">
      <c r="A6" s="6">
        <f t="shared" si="0"/>
        <v>5</v>
      </c>
      <c r="B6" s="16" t="s">
        <v>12</v>
      </c>
      <c r="C6" s="14"/>
      <c r="D6" s="10"/>
      <c r="E6" s="10"/>
      <c r="F6" s="10">
        <f t="shared" si="1"/>
        <v>0</v>
      </c>
      <c r="G6" s="11"/>
    </row>
    <row r="7" spans="1:9" x14ac:dyDescent="0.25">
      <c r="A7" s="6">
        <f t="shared" si="0"/>
        <v>6</v>
      </c>
      <c r="B7" s="13" t="s">
        <v>13</v>
      </c>
      <c r="C7" s="14"/>
      <c r="D7" s="10"/>
      <c r="E7" s="10"/>
      <c r="F7" s="10">
        <f t="shared" si="1"/>
        <v>0</v>
      </c>
      <c r="G7" s="11"/>
    </row>
    <row r="8" spans="1:9" x14ac:dyDescent="0.25">
      <c r="A8" s="6">
        <f t="shared" si="0"/>
        <v>7</v>
      </c>
      <c r="B8" s="16"/>
      <c r="C8" s="14"/>
      <c r="D8" s="10"/>
      <c r="E8" s="10"/>
      <c r="F8" s="14">
        <f t="shared" si="1"/>
        <v>0</v>
      </c>
      <c r="G8" s="11"/>
    </row>
    <row r="9" spans="1:9" x14ac:dyDescent="0.25">
      <c r="A9" s="6">
        <f t="shared" si="0"/>
        <v>8</v>
      </c>
      <c r="B9" s="16"/>
      <c r="C9" s="14"/>
      <c r="D9" s="10"/>
      <c r="E9" s="10"/>
      <c r="F9" s="10">
        <f t="shared" si="1"/>
        <v>0</v>
      </c>
      <c r="G9" s="11"/>
    </row>
    <row r="10" spans="1:9" x14ac:dyDescent="0.25">
      <c r="A10" s="6">
        <f t="shared" si="0"/>
        <v>9</v>
      </c>
      <c r="B10" s="16"/>
      <c r="C10" s="14"/>
      <c r="D10" s="10"/>
      <c r="E10" s="10"/>
      <c r="F10" s="10">
        <f t="shared" si="1"/>
        <v>0</v>
      </c>
      <c r="G10" s="11"/>
    </row>
    <row r="11" spans="1:9" x14ac:dyDescent="0.25">
      <c r="A11" s="6">
        <f t="shared" si="0"/>
        <v>10</v>
      </c>
      <c r="B11" s="16"/>
      <c r="C11" s="14"/>
      <c r="D11" s="17"/>
      <c r="E11" s="17"/>
      <c r="F11" s="10">
        <f t="shared" si="1"/>
        <v>0</v>
      </c>
      <c r="G11" s="11"/>
    </row>
    <row r="12" spans="1:9" x14ac:dyDescent="0.25">
      <c r="A12" s="6">
        <f t="shared" si="0"/>
        <v>11</v>
      </c>
      <c r="B12" s="16"/>
      <c r="C12" s="14"/>
      <c r="D12" s="17"/>
      <c r="E12" s="17"/>
      <c r="F12" s="10">
        <f t="shared" si="1"/>
        <v>0</v>
      </c>
      <c r="G12" s="11"/>
    </row>
    <row r="13" spans="1:9" x14ac:dyDescent="0.25">
      <c r="A13" s="6">
        <f t="shared" si="0"/>
        <v>12</v>
      </c>
      <c r="B13" s="16"/>
      <c r="C13" s="14"/>
      <c r="D13" s="17"/>
      <c r="E13" s="17"/>
      <c r="F13" s="10">
        <f t="shared" si="1"/>
        <v>0</v>
      </c>
      <c r="G13" s="11"/>
    </row>
    <row r="14" spans="1:9" x14ac:dyDescent="0.25">
      <c r="A14" s="6">
        <f t="shared" si="0"/>
        <v>13</v>
      </c>
      <c r="B14" s="16"/>
      <c r="C14" s="14"/>
      <c r="D14" s="17"/>
      <c r="E14" s="17"/>
      <c r="F14" s="10">
        <f t="shared" si="1"/>
        <v>0</v>
      </c>
      <c r="G14" s="11"/>
    </row>
    <row r="15" spans="1:9" x14ac:dyDescent="0.25">
      <c r="A15" s="6">
        <f t="shared" si="0"/>
        <v>14</v>
      </c>
      <c r="B15" s="16"/>
      <c r="C15" s="14"/>
      <c r="D15" s="17"/>
      <c r="E15" s="17"/>
      <c r="F15" s="10">
        <f t="shared" si="1"/>
        <v>0</v>
      </c>
      <c r="G15" s="11"/>
    </row>
    <row r="16" spans="1:9" x14ac:dyDescent="0.25">
      <c r="A16" s="6">
        <f t="shared" si="0"/>
        <v>15</v>
      </c>
      <c r="B16" s="16"/>
      <c r="C16" s="14"/>
      <c r="D16" s="17"/>
      <c r="E16" s="17"/>
      <c r="F16" s="10">
        <f t="shared" si="1"/>
        <v>0</v>
      </c>
      <c r="G16" s="11"/>
    </row>
    <row r="17" spans="1:7" x14ac:dyDescent="0.25">
      <c r="A17" s="6">
        <f t="shared" si="0"/>
        <v>16</v>
      </c>
      <c r="B17" s="16"/>
      <c r="C17" s="14"/>
      <c r="D17" s="17"/>
      <c r="E17" s="17"/>
      <c r="F17" s="10">
        <f t="shared" si="1"/>
        <v>0</v>
      </c>
      <c r="G17" s="11"/>
    </row>
    <row r="18" spans="1:7" x14ac:dyDescent="0.25">
      <c r="A18" s="6">
        <f t="shared" si="0"/>
        <v>17</v>
      </c>
      <c r="B18" s="16" t="s">
        <v>14</v>
      </c>
      <c r="C18" s="14"/>
      <c r="D18" s="17"/>
      <c r="E18" s="17"/>
      <c r="F18" s="10">
        <f t="shared" si="1"/>
        <v>0</v>
      </c>
      <c r="G18" s="11"/>
    </row>
    <row r="19" spans="1:7" x14ac:dyDescent="0.25">
      <c r="A19" s="6">
        <f t="shared" si="0"/>
        <v>18</v>
      </c>
      <c r="B19" s="16" t="s">
        <v>15</v>
      </c>
      <c r="C19" s="14"/>
      <c r="D19" s="17"/>
      <c r="E19" s="17"/>
      <c r="F19" s="10">
        <f t="shared" si="1"/>
        <v>0</v>
      </c>
      <c r="G19" s="11"/>
    </row>
    <row r="20" spans="1:7" x14ac:dyDescent="0.25">
      <c r="A20" s="6">
        <f t="shared" si="0"/>
        <v>19</v>
      </c>
      <c r="B20" s="16" t="s">
        <v>16</v>
      </c>
      <c r="C20" s="14"/>
      <c r="D20" s="17"/>
      <c r="E20" s="17"/>
      <c r="F20" s="10">
        <f t="shared" si="1"/>
        <v>0</v>
      </c>
      <c r="G20" s="11"/>
    </row>
    <row r="21" spans="1:7" ht="15.75" customHeight="1" thickBot="1" x14ac:dyDescent="0.3">
      <c r="A21" s="6">
        <f t="shared" si="0"/>
        <v>20</v>
      </c>
      <c r="B21" s="16" t="s">
        <v>17</v>
      </c>
      <c r="C21" s="18"/>
      <c r="D21" s="19"/>
      <c r="E21" s="17"/>
      <c r="F21" s="10">
        <f t="shared" si="1"/>
        <v>0</v>
      </c>
      <c r="G21" s="11"/>
    </row>
    <row r="22" spans="1:7" ht="15.75" customHeight="1" thickBot="1" x14ac:dyDescent="0.3">
      <c r="A22" s="20"/>
      <c r="B22" s="21" t="s">
        <v>18</v>
      </c>
      <c r="C22" s="22"/>
      <c r="D22" s="22"/>
      <c r="E22" s="23"/>
      <c r="F22" s="24">
        <f>SUM(F2:F21)</f>
        <v>0</v>
      </c>
      <c r="G22" s="25"/>
    </row>
    <row r="25" spans="1:7" ht="15.75" customHeight="1" thickBot="1" x14ac:dyDescent="0.3"/>
    <row r="26" spans="1:7" ht="15.75" customHeight="1" thickBot="1" x14ac:dyDescent="0.3">
      <c r="A26" s="26" t="s">
        <v>0</v>
      </c>
      <c r="B26" s="27" t="s">
        <v>1</v>
      </c>
      <c r="C26" s="26" t="s">
        <v>19</v>
      </c>
    </row>
    <row r="27" spans="1:7" x14ac:dyDescent="0.25">
      <c r="A27" s="28">
        <v>1</v>
      </c>
      <c r="B27" s="29"/>
      <c r="C27" s="30"/>
    </row>
    <row r="28" spans="1:7" x14ac:dyDescent="0.25">
      <c r="A28" s="28">
        <v>2</v>
      </c>
      <c r="B28" s="29"/>
      <c r="C28" s="30"/>
    </row>
    <row r="29" spans="1:7" x14ac:dyDescent="0.25">
      <c r="A29" s="28">
        <v>3</v>
      </c>
      <c r="B29" s="29"/>
      <c r="C29" s="30"/>
    </row>
    <row r="30" spans="1:7" x14ac:dyDescent="0.25">
      <c r="A30" s="28">
        <v>4</v>
      </c>
      <c r="B30" s="29"/>
      <c r="C30" s="30"/>
    </row>
    <row r="31" spans="1:7" x14ac:dyDescent="0.25">
      <c r="A31" s="28">
        <v>5</v>
      </c>
      <c r="B31" s="29"/>
      <c r="C31" s="30"/>
    </row>
    <row r="32" spans="1:7" x14ac:dyDescent="0.25">
      <c r="A32" s="28">
        <v>6</v>
      </c>
      <c r="B32" s="29"/>
      <c r="C32" s="30"/>
    </row>
    <row r="33" spans="1:3" x14ac:dyDescent="0.25">
      <c r="A33" s="28">
        <v>7</v>
      </c>
      <c r="B33" s="29"/>
      <c r="C33" s="30"/>
    </row>
    <row r="34" spans="1:3" x14ac:dyDescent="0.25">
      <c r="A34" s="28">
        <v>8</v>
      </c>
      <c r="B34" s="29"/>
      <c r="C34" s="30"/>
    </row>
    <row r="35" spans="1:3" x14ac:dyDescent="0.25">
      <c r="A35" s="28">
        <v>9</v>
      </c>
      <c r="B35" s="29"/>
      <c r="C35" s="30"/>
    </row>
    <row r="36" spans="1:3" x14ac:dyDescent="0.25">
      <c r="A36" s="28">
        <v>10</v>
      </c>
      <c r="B36" s="29"/>
      <c r="C36" s="30"/>
    </row>
    <row r="37" spans="1:3" x14ac:dyDescent="0.25">
      <c r="A37" s="28">
        <v>11</v>
      </c>
      <c r="B37" s="29"/>
      <c r="C37" s="30"/>
    </row>
    <row r="38" spans="1:3" x14ac:dyDescent="0.25">
      <c r="A38" s="28">
        <v>12</v>
      </c>
      <c r="B38" s="29"/>
      <c r="C38" s="30"/>
    </row>
    <row r="39" spans="1:3" x14ac:dyDescent="0.25">
      <c r="A39" s="28">
        <v>13</v>
      </c>
      <c r="B39" s="29"/>
      <c r="C39" s="30"/>
    </row>
    <row r="40" spans="1:3" x14ac:dyDescent="0.25">
      <c r="A40" s="28">
        <v>14</v>
      </c>
      <c r="B40" s="29"/>
      <c r="C40" s="30"/>
    </row>
    <row r="41" spans="1:3" x14ac:dyDescent="0.25">
      <c r="A41" s="28">
        <v>15</v>
      </c>
      <c r="B41" s="29"/>
      <c r="C41" s="30"/>
    </row>
    <row r="42" spans="1:3" x14ac:dyDescent="0.25">
      <c r="A42" s="28">
        <v>16</v>
      </c>
      <c r="B42" s="29"/>
      <c r="C42" s="30"/>
    </row>
    <row r="43" spans="1:3" x14ac:dyDescent="0.25">
      <c r="A43" s="28">
        <v>17</v>
      </c>
      <c r="B43" s="29"/>
      <c r="C43" s="3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49"/>
  <sheetViews>
    <sheetView topLeftCell="A29" workbookViewId="0">
      <selection activeCell="A28" sqref="A28:B48"/>
    </sheetView>
  </sheetViews>
  <sheetFormatPr defaultRowHeight="15" x14ac:dyDescent="0.25"/>
  <cols>
    <col min="1" max="1" width="6.7109375" bestFit="1" customWidth="1"/>
    <col min="2" max="2" width="56.7109375" customWidth="1"/>
    <col min="3" max="3" width="9.5703125" bestFit="1" customWidth="1"/>
    <col min="4" max="4" width="8.7109375" bestFit="1" customWidth="1"/>
    <col min="5" max="5" width="12.42578125" bestFit="1" customWidth="1"/>
    <col min="6" max="6" width="10.85546875" bestFit="1" customWidth="1"/>
    <col min="7" max="7" width="6.7109375" bestFit="1" customWidth="1"/>
    <col min="9" max="9" width="73.85546875" bestFit="1" customWidth="1"/>
  </cols>
  <sheetData>
    <row r="1" spans="1:10" ht="15.75" customHeight="1" thickBot="1" x14ac:dyDescent="0.3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2" t="s">
        <v>6</v>
      </c>
    </row>
    <row r="2" spans="1:10" x14ac:dyDescent="0.25">
      <c r="A2" s="6">
        <f t="shared" ref="A2:A22" si="0">ROW() - ROW($A$1)</f>
        <v>1</v>
      </c>
      <c r="B2" s="7" t="s">
        <v>34</v>
      </c>
      <c r="C2" s="8"/>
      <c r="D2" s="9"/>
      <c r="E2" s="9">
        <v>1.388888888888889E-2</v>
      </c>
      <c r="F2" s="10">
        <v>1.7361111111111108E-2</v>
      </c>
      <c r="G2" s="11"/>
      <c r="I2" s="12" t="s">
        <v>8</v>
      </c>
    </row>
    <row r="3" spans="1:10" x14ac:dyDescent="0.25">
      <c r="A3" s="6">
        <f t="shared" si="0"/>
        <v>2</v>
      </c>
      <c r="B3" s="13" t="s">
        <v>7</v>
      </c>
      <c r="C3" s="14"/>
      <c r="D3" s="10"/>
      <c r="E3" s="10">
        <v>1.7361111111111108E-2</v>
      </c>
      <c r="F3" s="10">
        <v>1.7361111111111108E-2</v>
      </c>
      <c r="G3" s="11"/>
      <c r="I3" s="29" t="s">
        <v>20</v>
      </c>
      <c r="J3" s="30">
        <v>2.0833333333333329E-2</v>
      </c>
    </row>
    <row r="4" spans="1:10" x14ac:dyDescent="0.25">
      <c r="A4" s="6">
        <f t="shared" si="0"/>
        <v>3</v>
      </c>
      <c r="B4" s="13" t="s">
        <v>35</v>
      </c>
      <c r="C4" s="14"/>
      <c r="D4" s="10"/>
      <c r="E4" s="10">
        <v>6.9444444444444441E-3</v>
      </c>
      <c r="F4" s="10">
        <v>6.9444444444444441E-3</v>
      </c>
      <c r="G4" s="11"/>
      <c r="I4" s="29" t="s">
        <v>21</v>
      </c>
      <c r="J4" s="30">
        <v>1.7361111111111108E-2</v>
      </c>
    </row>
    <row r="5" spans="1:10" x14ac:dyDescent="0.25">
      <c r="A5" s="6">
        <f t="shared" si="0"/>
        <v>4</v>
      </c>
      <c r="B5" s="13" t="s">
        <v>9</v>
      </c>
      <c r="C5" s="14"/>
      <c r="D5" s="10"/>
      <c r="E5" s="10">
        <v>4.1666666666666657E-2</v>
      </c>
      <c r="F5" s="10">
        <v>6.9444444444444441E-3</v>
      </c>
      <c r="G5" s="11"/>
      <c r="I5" s="29" t="s">
        <v>22</v>
      </c>
      <c r="J5" s="30">
        <v>1.7361111111111108E-2</v>
      </c>
    </row>
    <row r="6" spans="1:10" x14ac:dyDescent="0.25">
      <c r="A6" s="6">
        <f t="shared" si="0"/>
        <v>5</v>
      </c>
      <c r="B6" s="15" t="s">
        <v>36</v>
      </c>
      <c r="C6" s="14"/>
      <c r="D6" s="10"/>
      <c r="E6" s="10"/>
      <c r="F6" s="10">
        <v>6.9444444444444441E-3</v>
      </c>
      <c r="G6" s="11"/>
      <c r="I6" s="29" t="s">
        <v>23</v>
      </c>
      <c r="J6" s="30">
        <v>2.0833333333333329E-2</v>
      </c>
    </row>
    <row r="7" spans="1:10" x14ac:dyDescent="0.25">
      <c r="A7" s="6">
        <f t="shared" si="0"/>
        <v>6</v>
      </c>
      <c r="B7" s="15" t="s">
        <v>10</v>
      </c>
      <c r="C7" s="14"/>
      <c r="D7" s="10"/>
      <c r="E7" s="10"/>
      <c r="F7" s="10">
        <v>6.9444444444444441E-3</v>
      </c>
      <c r="G7" s="11"/>
      <c r="I7" s="29" t="s">
        <v>24</v>
      </c>
      <c r="J7" s="30">
        <v>1.041666666666667E-2</v>
      </c>
    </row>
    <row r="8" spans="1:10" x14ac:dyDescent="0.25">
      <c r="A8" s="6">
        <f t="shared" si="0"/>
        <v>7</v>
      </c>
      <c r="B8" s="16" t="s">
        <v>37</v>
      </c>
      <c r="C8" s="14"/>
      <c r="D8" s="10"/>
      <c r="E8" s="10"/>
      <c r="F8" s="14">
        <v>1.041666666666667E-2</v>
      </c>
      <c r="G8" s="11"/>
      <c r="I8" s="29" t="s">
        <v>25</v>
      </c>
      <c r="J8" s="30">
        <v>6.9444444444444441E-3</v>
      </c>
    </row>
    <row r="9" spans="1:10" x14ac:dyDescent="0.25">
      <c r="A9" s="6">
        <f t="shared" si="0"/>
        <v>8</v>
      </c>
      <c r="B9" s="16" t="s">
        <v>38</v>
      </c>
      <c r="C9" s="14"/>
      <c r="D9" s="10"/>
      <c r="E9" s="10"/>
      <c r="F9" s="10">
        <v>1.041666666666667E-2</v>
      </c>
      <c r="G9" s="11"/>
      <c r="I9" s="29" t="s">
        <v>26</v>
      </c>
      <c r="J9" s="30">
        <v>6.9444444444444441E-3</v>
      </c>
    </row>
    <row r="10" spans="1:10" x14ac:dyDescent="0.25">
      <c r="A10" s="6">
        <f t="shared" si="0"/>
        <v>9</v>
      </c>
      <c r="B10" s="16" t="s">
        <v>39</v>
      </c>
      <c r="C10" s="14"/>
      <c r="D10" s="10"/>
      <c r="E10" s="10"/>
      <c r="F10" s="10">
        <v>1.388888888888889E-2</v>
      </c>
      <c r="G10" s="11"/>
      <c r="I10" s="29" t="s">
        <v>27</v>
      </c>
      <c r="J10" s="30">
        <v>1.7361111111111108E-2</v>
      </c>
    </row>
    <row r="11" spans="1:10" x14ac:dyDescent="0.25">
      <c r="A11" s="6">
        <f t="shared" si="0"/>
        <v>10</v>
      </c>
      <c r="B11" s="16" t="s">
        <v>27</v>
      </c>
      <c r="C11" s="14"/>
      <c r="D11" s="17"/>
      <c r="E11" s="17"/>
      <c r="F11" s="10">
        <v>1.388888888888889E-2</v>
      </c>
      <c r="G11" s="11"/>
      <c r="I11" s="29" t="s">
        <v>28</v>
      </c>
      <c r="J11" s="30">
        <v>2.0833333333333329E-2</v>
      </c>
    </row>
    <row r="12" spans="1:10" x14ac:dyDescent="0.25">
      <c r="A12" s="6">
        <f t="shared" si="0"/>
        <v>11</v>
      </c>
      <c r="B12" s="16" t="s">
        <v>28</v>
      </c>
      <c r="C12" s="14"/>
      <c r="D12" s="17"/>
      <c r="E12" s="17"/>
      <c r="F12" s="10">
        <v>4.1666666666666657E-2</v>
      </c>
      <c r="G12" s="11"/>
      <c r="I12" s="29" t="s">
        <v>29</v>
      </c>
      <c r="J12" s="30">
        <v>4.1666666666666657E-2</v>
      </c>
    </row>
    <row r="13" spans="1:10" x14ac:dyDescent="0.25">
      <c r="A13" s="6">
        <f t="shared" si="0"/>
        <v>12</v>
      </c>
      <c r="B13" s="16" t="s">
        <v>40</v>
      </c>
      <c r="C13" s="14"/>
      <c r="D13" s="17"/>
      <c r="E13" s="17"/>
      <c r="F13" s="10">
        <v>1.388888888888889E-2</v>
      </c>
      <c r="G13" s="11"/>
      <c r="I13" s="29" t="s">
        <v>30</v>
      </c>
      <c r="J13" s="30">
        <v>6.25E-2</v>
      </c>
    </row>
    <row r="14" spans="1:10" x14ac:dyDescent="0.25">
      <c r="A14" s="6">
        <f t="shared" si="0"/>
        <v>13</v>
      </c>
      <c r="B14" s="16" t="s">
        <v>41</v>
      </c>
      <c r="C14" s="14"/>
      <c r="D14" s="17"/>
      <c r="E14" s="17"/>
      <c r="F14" s="10">
        <v>1.041666666666667E-2</v>
      </c>
      <c r="G14" s="11"/>
      <c r="I14" s="34" t="s">
        <v>31</v>
      </c>
      <c r="J14" s="30">
        <v>1.388888888888889E-2</v>
      </c>
    </row>
    <row r="15" spans="1:10" x14ac:dyDescent="0.25">
      <c r="A15" s="6">
        <f t="shared" si="0"/>
        <v>14</v>
      </c>
      <c r="B15" s="16" t="s">
        <v>14</v>
      </c>
      <c r="C15" s="14"/>
      <c r="D15" s="17"/>
      <c r="E15" s="17"/>
      <c r="F15" s="10">
        <v>1.041666666666667E-2</v>
      </c>
      <c r="G15" s="11"/>
      <c r="I15" s="29" t="s">
        <v>32</v>
      </c>
      <c r="J15" s="30">
        <v>4.1666666666666657E-2</v>
      </c>
    </row>
    <row r="16" spans="1:10" x14ac:dyDescent="0.25">
      <c r="A16" s="6">
        <f t="shared" si="0"/>
        <v>15</v>
      </c>
      <c r="B16" s="16" t="s">
        <v>42</v>
      </c>
      <c r="C16" s="14"/>
      <c r="D16" s="17"/>
      <c r="E16" s="17"/>
      <c r="F16" s="10">
        <v>3.125E-2</v>
      </c>
      <c r="G16" s="11"/>
    </row>
    <row r="17" spans="1:7" x14ac:dyDescent="0.25">
      <c r="A17" s="6">
        <f t="shared" si="0"/>
        <v>16</v>
      </c>
      <c r="B17" s="16" t="s">
        <v>15</v>
      </c>
      <c r="C17" s="14"/>
      <c r="D17" s="17"/>
      <c r="E17" s="17"/>
      <c r="F17" s="10">
        <v>3.125E-2</v>
      </c>
      <c r="G17" s="11"/>
    </row>
    <row r="18" spans="1:7" x14ac:dyDescent="0.25">
      <c r="A18" s="6">
        <f t="shared" si="0"/>
        <v>17</v>
      </c>
      <c r="B18" s="16" t="s">
        <v>43</v>
      </c>
      <c r="C18" s="14"/>
      <c r="D18" s="17"/>
      <c r="E18" s="17"/>
      <c r="F18" s="10">
        <v>6.9444444444444441E-3</v>
      </c>
      <c r="G18" s="11"/>
    </row>
    <row r="19" spans="1:7" x14ac:dyDescent="0.25">
      <c r="A19" s="6">
        <f t="shared" si="0"/>
        <v>18</v>
      </c>
      <c r="B19" s="16" t="s">
        <v>16</v>
      </c>
      <c r="C19" s="14"/>
      <c r="D19" s="17"/>
      <c r="E19" s="17"/>
      <c r="F19" s="10">
        <v>6.9444444444444441E-3</v>
      </c>
      <c r="G19" s="11"/>
    </row>
    <row r="20" spans="1:7" x14ac:dyDescent="0.25">
      <c r="A20" s="6">
        <f t="shared" si="0"/>
        <v>19</v>
      </c>
      <c r="B20" s="16" t="s">
        <v>44</v>
      </c>
      <c r="C20" s="14"/>
      <c r="D20" s="17"/>
      <c r="E20" s="17"/>
      <c r="F20" s="10">
        <v>1.041666666666667E-2</v>
      </c>
      <c r="G20" s="11"/>
    </row>
    <row r="21" spans="1:7" x14ac:dyDescent="0.25">
      <c r="A21" s="6">
        <f t="shared" si="0"/>
        <v>20</v>
      </c>
      <c r="B21" s="16" t="s">
        <v>45</v>
      </c>
      <c r="C21" s="42"/>
      <c r="D21" s="17"/>
      <c r="E21" s="17"/>
      <c r="F21" s="10">
        <v>1.7361111111111108E-2</v>
      </c>
      <c r="G21" s="11"/>
    </row>
    <row r="22" spans="1:7" ht="15.75" customHeight="1" thickBot="1" x14ac:dyDescent="0.3">
      <c r="A22" s="6">
        <f t="shared" si="0"/>
        <v>21</v>
      </c>
      <c r="B22" s="16" t="s">
        <v>46</v>
      </c>
      <c r="C22" s="18"/>
      <c r="D22" s="19"/>
      <c r="E22" s="17"/>
      <c r="F22" s="10">
        <v>1.041666666666667E-2</v>
      </c>
      <c r="G22" s="11"/>
    </row>
    <row r="23" spans="1:7" ht="15.75" customHeight="1" thickBot="1" x14ac:dyDescent="0.3">
      <c r="A23" s="20"/>
      <c r="B23" s="21" t="s">
        <v>18</v>
      </c>
      <c r="C23" s="22"/>
      <c r="D23" s="22"/>
      <c r="E23" s="23"/>
      <c r="F23" s="24">
        <f>SUM(F2:F22)</f>
        <v>0.30208333333333331</v>
      </c>
      <c r="G23" s="25"/>
    </row>
    <row r="26" spans="1:7" ht="15.75" customHeight="1" thickBot="1" x14ac:dyDescent="0.3"/>
    <row r="27" spans="1:7" ht="15.75" customHeight="1" thickBot="1" x14ac:dyDescent="0.3">
      <c r="A27" s="26" t="s">
        <v>0</v>
      </c>
      <c r="B27" s="27" t="s">
        <v>1</v>
      </c>
      <c r="C27" s="26" t="s">
        <v>19</v>
      </c>
    </row>
    <row r="28" spans="1:7" x14ac:dyDescent="0.25">
      <c r="A28" s="28">
        <v>1</v>
      </c>
      <c r="B28" s="29" t="s">
        <v>34</v>
      </c>
      <c r="C28" s="30">
        <v>1.7361111111111108E-2</v>
      </c>
    </row>
    <row r="29" spans="1:7" x14ac:dyDescent="0.25">
      <c r="A29" s="28">
        <v>2</v>
      </c>
      <c r="B29" s="29" t="s">
        <v>7</v>
      </c>
      <c r="C29" s="30">
        <v>1.7361111111111108E-2</v>
      </c>
    </row>
    <row r="30" spans="1:7" x14ac:dyDescent="0.25">
      <c r="A30" s="28">
        <v>3</v>
      </c>
      <c r="B30" s="29" t="s">
        <v>35</v>
      </c>
      <c r="C30" s="30">
        <v>6.9444444444444441E-3</v>
      </c>
    </row>
    <row r="31" spans="1:7" x14ac:dyDescent="0.25">
      <c r="A31" s="28">
        <v>4</v>
      </c>
      <c r="B31" s="29" t="s">
        <v>9</v>
      </c>
      <c r="C31" s="30">
        <v>6.9444444444444441E-3</v>
      </c>
    </row>
    <row r="32" spans="1:7" x14ac:dyDescent="0.25">
      <c r="A32" s="28">
        <v>5</v>
      </c>
      <c r="B32" s="29" t="s">
        <v>36</v>
      </c>
      <c r="C32" s="30">
        <v>6.9444444444444441E-3</v>
      </c>
    </row>
    <row r="33" spans="1:3" x14ac:dyDescent="0.25">
      <c r="A33" s="28">
        <v>6</v>
      </c>
      <c r="B33" s="29" t="s">
        <v>10</v>
      </c>
      <c r="C33" s="30">
        <v>6.9444444444444441E-3</v>
      </c>
    </row>
    <row r="34" spans="1:3" x14ac:dyDescent="0.25">
      <c r="A34" s="28">
        <v>7</v>
      </c>
      <c r="B34" s="29" t="s">
        <v>37</v>
      </c>
      <c r="C34" s="30">
        <v>1.041666666666667E-2</v>
      </c>
    </row>
    <row r="35" spans="1:3" x14ac:dyDescent="0.25">
      <c r="A35" s="28">
        <v>8</v>
      </c>
      <c r="B35" s="29" t="s">
        <v>38</v>
      </c>
      <c r="C35" s="30">
        <v>1.041666666666667E-2</v>
      </c>
    </row>
    <row r="36" spans="1:3" x14ac:dyDescent="0.25">
      <c r="A36" s="28">
        <v>9</v>
      </c>
      <c r="B36" s="29" t="s">
        <v>39</v>
      </c>
      <c r="C36" s="30">
        <v>1.388888888888889E-2</v>
      </c>
    </row>
    <row r="37" spans="1:3" x14ac:dyDescent="0.25">
      <c r="A37" s="28">
        <v>10</v>
      </c>
      <c r="B37" s="29" t="s">
        <v>27</v>
      </c>
      <c r="C37" s="30">
        <v>1.388888888888889E-2</v>
      </c>
    </row>
    <row r="38" spans="1:3" x14ac:dyDescent="0.25">
      <c r="A38" s="28">
        <v>11</v>
      </c>
      <c r="B38" s="29" t="s">
        <v>28</v>
      </c>
      <c r="C38" s="30">
        <v>4.1666666666666657E-2</v>
      </c>
    </row>
    <row r="39" spans="1:3" x14ac:dyDescent="0.25">
      <c r="A39" s="28">
        <v>12</v>
      </c>
      <c r="B39" s="29" t="s">
        <v>40</v>
      </c>
      <c r="C39" s="30">
        <v>1.388888888888889E-2</v>
      </c>
    </row>
    <row r="40" spans="1:3" x14ac:dyDescent="0.25">
      <c r="A40" s="28">
        <v>13</v>
      </c>
      <c r="B40" s="29" t="s">
        <v>41</v>
      </c>
      <c r="C40" s="30">
        <v>1.041666666666667E-2</v>
      </c>
    </row>
    <row r="41" spans="1:3" x14ac:dyDescent="0.25">
      <c r="A41" s="28">
        <v>14</v>
      </c>
      <c r="B41" s="29" t="s">
        <v>14</v>
      </c>
      <c r="C41" s="30">
        <v>1.041666666666667E-2</v>
      </c>
    </row>
    <row r="42" spans="1:3" x14ac:dyDescent="0.25">
      <c r="A42" s="28">
        <v>15</v>
      </c>
      <c r="B42" s="29" t="s">
        <v>42</v>
      </c>
      <c r="C42" s="30">
        <v>3.125E-2</v>
      </c>
    </row>
    <row r="43" spans="1:3" x14ac:dyDescent="0.25">
      <c r="A43" s="28">
        <v>16</v>
      </c>
      <c r="B43" s="29" t="s">
        <v>15</v>
      </c>
      <c r="C43" s="30">
        <v>3.125E-2</v>
      </c>
    </row>
    <row r="44" spans="1:3" x14ac:dyDescent="0.25">
      <c r="A44" s="28">
        <v>17</v>
      </c>
      <c r="B44" s="29" t="s">
        <v>43</v>
      </c>
      <c r="C44" s="30">
        <v>6.9444444444444441E-3</v>
      </c>
    </row>
    <row r="45" spans="1:3" x14ac:dyDescent="0.25">
      <c r="A45" s="28">
        <v>18</v>
      </c>
      <c r="B45" s="29" t="s">
        <v>16</v>
      </c>
      <c r="C45" s="30">
        <v>6.9444444444444441E-3</v>
      </c>
    </row>
    <row r="46" spans="1:3" x14ac:dyDescent="0.25">
      <c r="A46" s="28">
        <v>19</v>
      </c>
      <c r="B46" s="29" t="s">
        <v>44</v>
      </c>
      <c r="C46" s="30">
        <v>1.041666666666667E-2</v>
      </c>
    </row>
    <row r="47" spans="1:3" x14ac:dyDescent="0.25">
      <c r="A47" s="28">
        <v>20</v>
      </c>
      <c r="B47" s="29" t="s">
        <v>45</v>
      </c>
      <c r="C47" s="30">
        <v>1.7361111111111108E-2</v>
      </c>
    </row>
    <row r="48" spans="1:3" ht="15" customHeight="1" thickBot="1" x14ac:dyDescent="0.3">
      <c r="A48" s="43">
        <v>21</v>
      </c>
      <c r="B48" s="44" t="s">
        <v>46</v>
      </c>
      <c r="C48" s="45">
        <v>1.041666666666667E-2</v>
      </c>
    </row>
    <row r="49" spans="3:3" x14ac:dyDescent="0.25">
      <c r="C49" s="3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43"/>
  <sheetViews>
    <sheetView workbookViewId="0"/>
  </sheetViews>
  <sheetFormatPr defaultRowHeight="15" x14ac:dyDescent="0.25"/>
  <cols>
    <col min="1" max="1" width="6.7109375" bestFit="1" customWidth="1"/>
    <col min="2" max="2" width="56.7109375" customWidth="1"/>
    <col min="3" max="3" width="9.5703125" bestFit="1" customWidth="1"/>
    <col min="4" max="4" width="8.7109375" bestFit="1" customWidth="1"/>
    <col min="5" max="5" width="12.42578125" bestFit="1" customWidth="1"/>
    <col min="6" max="6" width="10.85546875" bestFit="1" customWidth="1"/>
    <col min="7" max="7" width="6.7109375" bestFit="1" customWidth="1"/>
  </cols>
  <sheetData>
    <row r="1" spans="1:9" ht="15.75" customHeight="1" thickBot="1" x14ac:dyDescent="0.3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2" t="s">
        <v>6</v>
      </c>
    </row>
    <row r="2" spans="1:9" x14ac:dyDescent="0.25">
      <c r="A2" s="6">
        <f t="shared" ref="A2:A21" si="0">ROW() - ROW($A$1)</f>
        <v>1</v>
      </c>
      <c r="B2" s="7" t="s">
        <v>7</v>
      </c>
      <c r="C2" s="8"/>
      <c r="D2" s="9"/>
      <c r="E2" s="9">
        <v>1.388888888888889E-2</v>
      </c>
      <c r="F2" s="10">
        <f t="shared" ref="F2:F21" si="1">D2-C2</f>
        <v>0</v>
      </c>
      <c r="G2" s="11"/>
      <c r="I2" s="12" t="s">
        <v>8</v>
      </c>
    </row>
    <row r="3" spans="1:9" x14ac:dyDescent="0.25">
      <c r="A3" s="6">
        <f t="shared" si="0"/>
        <v>2</v>
      </c>
      <c r="B3" s="13" t="s">
        <v>9</v>
      </c>
      <c r="C3" s="14"/>
      <c r="D3" s="10"/>
      <c r="E3" s="10">
        <v>1.7361111111111108E-2</v>
      </c>
      <c r="F3" s="10">
        <f t="shared" si="1"/>
        <v>0</v>
      </c>
      <c r="G3" s="11"/>
    </row>
    <row r="4" spans="1:9" x14ac:dyDescent="0.25">
      <c r="A4" s="6">
        <f t="shared" si="0"/>
        <v>3</v>
      </c>
      <c r="B4" s="15" t="s">
        <v>10</v>
      </c>
      <c r="C4" s="14"/>
      <c r="D4" s="10"/>
      <c r="E4" s="10">
        <v>6.9444444444444441E-3</v>
      </c>
      <c r="F4" s="10">
        <f t="shared" si="1"/>
        <v>0</v>
      </c>
      <c r="G4" s="11"/>
    </row>
    <row r="5" spans="1:9" x14ac:dyDescent="0.25">
      <c r="A5" s="6">
        <f t="shared" si="0"/>
        <v>4</v>
      </c>
      <c r="B5" s="13" t="s">
        <v>11</v>
      </c>
      <c r="C5" s="14"/>
      <c r="D5" s="10"/>
      <c r="E5" s="10">
        <v>4.1666666666666657E-2</v>
      </c>
      <c r="F5" s="10">
        <f t="shared" si="1"/>
        <v>0</v>
      </c>
      <c r="G5" s="11"/>
    </row>
    <row r="6" spans="1:9" x14ac:dyDescent="0.25">
      <c r="A6" s="6">
        <f t="shared" si="0"/>
        <v>5</v>
      </c>
      <c r="B6" s="16" t="s">
        <v>12</v>
      </c>
      <c r="C6" s="14"/>
      <c r="D6" s="10"/>
      <c r="E6" s="10"/>
      <c r="F6" s="10">
        <f t="shared" si="1"/>
        <v>0</v>
      </c>
      <c r="G6" s="11"/>
    </row>
    <row r="7" spans="1:9" x14ac:dyDescent="0.25">
      <c r="A7" s="6">
        <f t="shared" si="0"/>
        <v>6</v>
      </c>
      <c r="B7" s="13" t="s">
        <v>13</v>
      </c>
      <c r="C7" s="14"/>
      <c r="D7" s="10"/>
      <c r="E7" s="10"/>
      <c r="F7" s="10">
        <f t="shared" si="1"/>
        <v>0</v>
      </c>
      <c r="G7" s="11"/>
    </row>
    <row r="8" spans="1:9" x14ac:dyDescent="0.25">
      <c r="A8" s="6">
        <f t="shared" si="0"/>
        <v>7</v>
      </c>
      <c r="B8" s="16"/>
      <c r="C8" s="14"/>
      <c r="D8" s="10"/>
      <c r="E8" s="10"/>
      <c r="F8" s="14">
        <f t="shared" si="1"/>
        <v>0</v>
      </c>
      <c r="G8" s="11"/>
    </row>
    <row r="9" spans="1:9" x14ac:dyDescent="0.25">
      <c r="A9" s="6">
        <f t="shared" si="0"/>
        <v>8</v>
      </c>
      <c r="B9" s="16"/>
      <c r="C9" s="14"/>
      <c r="D9" s="10"/>
      <c r="E9" s="10"/>
      <c r="F9" s="10">
        <f t="shared" si="1"/>
        <v>0</v>
      </c>
      <c r="G9" s="11"/>
    </row>
    <row r="10" spans="1:9" x14ac:dyDescent="0.25">
      <c r="A10" s="6">
        <f t="shared" si="0"/>
        <v>9</v>
      </c>
      <c r="B10" s="16"/>
      <c r="C10" s="14"/>
      <c r="D10" s="10"/>
      <c r="E10" s="10"/>
      <c r="F10" s="10">
        <f t="shared" si="1"/>
        <v>0</v>
      </c>
      <c r="G10" s="11"/>
    </row>
    <row r="11" spans="1:9" x14ac:dyDescent="0.25">
      <c r="A11" s="6">
        <f t="shared" si="0"/>
        <v>10</v>
      </c>
      <c r="B11" s="16"/>
      <c r="C11" s="14"/>
      <c r="D11" s="17"/>
      <c r="E11" s="17"/>
      <c r="F11" s="10">
        <f t="shared" si="1"/>
        <v>0</v>
      </c>
      <c r="G11" s="11"/>
    </row>
    <row r="12" spans="1:9" x14ac:dyDescent="0.25">
      <c r="A12" s="6">
        <f t="shared" si="0"/>
        <v>11</v>
      </c>
      <c r="B12" s="16"/>
      <c r="C12" s="14"/>
      <c r="D12" s="17"/>
      <c r="E12" s="17"/>
      <c r="F12" s="10">
        <f t="shared" si="1"/>
        <v>0</v>
      </c>
      <c r="G12" s="11"/>
    </row>
    <row r="13" spans="1:9" x14ac:dyDescent="0.25">
      <c r="A13" s="6">
        <f t="shared" si="0"/>
        <v>12</v>
      </c>
      <c r="B13" s="16"/>
      <c r="C13" s="14"/>
      <c r="D13" s="17"/>
      <c r="E13" s="17"/>
      <c r="F13" s="10">
        <f t="shared" si="1"/>
        <v>0</v>
      </c>
      <c r="G13" s="11"/>
    </row>
    <row r="14" spans="1:9" x14ac:dyDescent="0.25">
      <c r="A14" s="6">
        <f t="shared" si="0"/>
        <v>13</v>
      </c>
      <c r="B14" s="16"/>
      <c r="C14" s="14"/>
      <c r="D14" s="17"/>
      <c r="E14" s="17"/>
      <c r="F14" s="10">
        <f t="shared" si="1"/>
        <v>0</v>
      </c>
      <c r="G14" s="11"/>
    </row>
    <row r="15" spans="1:9" x14ac:dyDescent="0.25">
      <c r="A15" s="6">
        <f t="shared" si="0"/>
        <v>14</v>
      </c>
      <c r="B15" s="16"/>
      <c r="C15" s="14"/>
      <c r="D15" s="17"/>
      <c r="E15" s="17"/>
      <c r="F15" s="10">
        <f t="shared" si="1"/>
        <v>0</v>
      </c>
      <c r="G15" s="11"/>
    </row>
    <row r="16" spans="1:9" x14ac:dyDescent="0.25">
      <c r="A16" s="6">
        <f t="shared" si="0"/>
        <v>15</v>
      </c>
      <c r="B16" s="16"/>
      <c r="C16" s="14"/>
      <c r="D16" s="17"/>
      <c r="E16" s="17"/>
      <c r="F16" s="10">
        <f t="shared" si="1"/>
        <v>0</v>
      </c>
      <c r="G16" s="11"/>
    </row>
    <row r="17" spans="1:7" x14ac:dyDescent="0.25">
      <c r="A17" s="6">
        <f t="shared" si="0"/>
        <v>16</v>
      </c>
      <c r="B17" s="16"/>
      <c r="C17" s="14"/>
      <c r="D17" s="17"/>
      <c r="E17" s="17"/>
      <c r="F17" s="10">
        <f t="shared" si="1"/>
        <v>0</v>
      </c>
      <c r="G17" s="11"/>
    </row>
    <row r="18" spans="1:7" x14ac:dyDescent="0.25">
      <c r="A18" s="6">
        <f t="shared" si="0"/>
        <v>17</v>
      </c>
      <c r="B18" s="16" t="s">
        <v>14</v>
      </c>
      <c r="C18" s="14"/>
      <c r="D18" s="17"/>
      <c r="E18" s="17"/>
      <c r="F18" s="10">
        <f t="shared" si="1"/>
        <v>0</v>
      </c>
      <c r="G18" s="11"/>
    </row>
    <row r="19" spans="1:7" x14ac:dyDescent="0.25">
      <c r="A19" s="6">
        <f t="shared" si="0"/>
        <v>18</v>
      </c>
      <c r="B19" s="16" t="s">
        <v>15</v>
      </c>
      <c r="C19" s="14"/>
      <c r="D19" s="17"/>
      <c r="E19" s="17"/>
      <c r="F19" s="10">
        <f t="shared" si="1"/>
        <v>0</v>
      </c>
      <c r="G19" s="11"/>
    </row>
    <row r="20" spans="1:7" x14ac:dyDescent="0.25">
      <c r="A20" s="6">
        <f t="shared" si="0"/>
        <v>19</v>
      </c>
      <c r="B20" s="16" t="s">
        <v>16</v>
      </c>
      <c r="C20" s="14"/>
      <c r="D20" s="17"/>
      <c r="E20" s="17"/>
      <c r="F20" s="10">
        <f t="shared" si="1"/>
        <v>0</v>
      </c>
      <c r="G20" s="11"/>
    </row>
    <row r="21" spans="1:7" ht="15.75" customHeight="1" thickBot="1" x14ac:dyDescent="0.3">
      <c r="A21" s="6">
        <f t="shared" si="0"/>
        <v>20</v>
      </c>
      <c r="B21" s="16" t="s">
        <v>17</v>
      </c>
      <c r="C21" s="18"/>
      <c r="D21" s="19"/>
      <c r="E21" s="17"/>
      <c r="F21" s="10">
        <f t="shared" si="1"/>
        <v>0</v>
      </c>
      <c r="G21" s="11"/>
    </row>
    <row r="22" spans="1:7" ht="15.75" customHeight="1" thickBot="1" x14ac:dyDescent="0.3">
      <c r="A22" s="20"/>
      <c r="B22" s="21" t="s">
        <v>18</v>
      </c>
      <c r="C22" s="22"/>
      <c r="D22" s="22"/>
      <c r="E22" s="23"/>
      <c r="F22" s="24">
        <f>SUM(F2:F21)</f>
        <v>0</v>
      </c>
      <c r="G22" s="25"/>
    </row>
    <row r="25" spans="1:7" ht="15.75" customHeight="1" thickBot="1" x14ac:dyDescent="0.3"/>
    <row r="26" spans="1:7" ht="15.75" customHeight="1" thickBot="1" x14ac:dyDescent="0.3">
      <c r="A26" s="26" t="s">
        <v>0</v>
      </c>
      <c r="B26" s="27" t="s">
        <v>1</v>
      </c>
      <c r="C26" s="26" t="s">
        <v>19</v>
      </c>
    </row>
    <row r="27" spans="1:7" x14ac:dyDescent="0.25">
      <c r="A27" s="28">
        <v>1</v>
      </c>
      <c r="B27" s="29"/>
      <c r="C27" s="30"/>
    </row>
    <row r="28" spans="1:7" x14ac:dyDescent="0.25">
      <c r="A28" s="28">
        <v>2</v>
      </c>
      <c r="B28" s="29"/>
      <c r="C28" s="30"/>
    </row>
    <row r="29" spans="1:7" x14ac:dyDescent="0.25">
      <c r="A29" s="28">
        <v>3</v>
      </c>
      <c r="B29" s="29"/>
      <c r="C29" s="30"/>
    </row>
    <row r="30" spans="1:7" x14ac:dyDescent="0.25">
      <c r="A30" s="28">
        <v>4</v>
      </c>
      <c r="B30" s="29"/>
      <c r="C30" s="30"/>
    </row>
    <row r="31" spans="1:7" x14ac:dyDescent="0.25">
      <c r="A31" s="28">
        <v>5</v>
      </c>
      <c r="B31" s="29"/>
      <c r="C31" s="30"/>
    </row>
    <row r="32" spans="1:7" x14ac:dyDescent="0.25">
      <c r="A32" s="28">
        <v>6</v>
      </c>
      <c r="B32" s="29"/>
      <c r="C32" s="30"/>
    </row>
    <row r="33" spans="1:3" x14ac:dyDescent="0.25">
      <c r="A33" s="28">
        <v>7</v>
      </c>
      <c r="B33" s="29"/>
      <c r="C33" s="30"/>
    </row>
    <row r="34" spans="1:3" x14ac:dyDescent="0.25">
      <c r="A34" s="28">
        <v>8</v>
      </c>
      <c r="B34" s="29"/>
      <c r="C34" s="30"/>
    </row>
    <row r="35" spans="1:3" x14ac:dyDescent="0.25">
      <c r="A35" s="28">
        <v>9</v>
      </c>
      <c r="B35" s="29"/>
      <c r="C35" s="30"/>
    </row>
    <row r="36" spans="1:3" x14ac:dyDescent="0.25">
      <c r="A36" s="28">
        <v>10</v>
      </c>
      <c r="B36" s="29"/>
      <c r="C36" s="30"/>
    </row>
    <row r="37" spans="1:3" x14ac:dyDescent="0.25">
      <c r="A37" s="28">
        <v>11</v>
      </c>
      <c r="B37" s="29"/>
      <c r="C37" s="30"/>
    </row>
    <row r="38" spans="1:3" x14ac:dyDescent="0.25">
      <c r="A38" s="28">
        <v>12</v>
      </c>
      <c r="B38" s="29"/>
      <c r="C38" s="30"/>
    </row>
    <row r="39" spans="1:3" x14ac:dyDescent="0.25">
      <c r="A39" s="28">
        <v>13</v>
      </c>
      <c r="B39" s="29"/>
      <c r="C39" s="30"/>
    </row>
    <row r="40" spans="1:3" x14ac:dyDescent="0.25">
      <c r="A40" s="28">
        <v>14</v>
      </c>
      <c r="B40" s="29"/>
      <c r="C40" s="30"/>
    </row>
    <row r="41" spans="1:3" x14ac:dyDescent="0.25">
      <c r="A41" s="28">
        <v>15</v>
      </c>
      <c r="B41" s="29"/>
      <c r="C41" s="30"/>
    </row>
    <row r="42" spans="1:3" x14ac:dyDescent="0.25">
      <c r="A42" s="28">
        <v>16</v>
      </c>
      <c r="B42" s="29"/>
      <c r="C42" s="30"/>
    </row>
    <row r="43" spans="1:3" x14ac:dyDescent="0.25">
      <c r="A43" s="28">
        <v>17</v>
      </c>
      <c r="B43" s="29"/>
      <c r="C43" s="30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43"/>
  <sheetViews>
    <sheetView workbookViewId="0">
      <selection activeCell="J26" sqref="J26"/>
    </sheetView>
  </sheetViews>
  <sheetFormatPr defaultRowHeight="15" x14ac:dyDescent="0.25"/>
  <cols>
    <col min="1" max="1" width="6.7109375" bestFit="1" customWidth="1"/>
    <col min="2" max="2" width="56.7109375" customWidth="1"/>
    <col min="3" max="3" width="9.5703125" bestFit="1" customWidth="1"/>
    <col min="4" max="4" width="8.7109375" bestFit="1" customWidth="1"/>
    <col min="5" max="5" width="12.42578125" bestFit="1" customWidth="1"/>
    <col min="6" max="6" width="10.85546875" bestFit="1" customWidth="1"/>
    <col min="7" max="7" width="6.7109375" bestFit="1" customWidth="1"/>
  </cols>
  <sheetData>
    <row r="1" spans="1:9" ht="15.75" customHeight="1" thickBot="1" x14ac:dyDescent="0.3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2" t="s">
        <v>6</v>
      </c>
    </row>
    <row r="2" spans="1:9" x14ac:dyDescent="0.25">
      <c r="A2" s="6">
        <f t="shared" ref="A2:A21" si="0">ROW() - ROW($A$1)</f>
        <v>1</v>
      </c>
      <c r="B2" s="7" t="s">
        <v>7</v>
      </c>
      <c r="C2" s="8"/>
      <c r="D2" s="9"/>
      <c r="E2" s="9">
        <v>1.388888888888889E-2</v>
      </c>
      <c r="F2" s="10">
        <f t="shared" ref="F2:F21" si="1">D2-C2</f>
        <v>0</v>
      </c>
      <c r="G2" s="11"/>
      <c r="I2" s="12" t="s">
        <v>8</v>
      </c>
    </row>
    <row r="3" spans="1:9" x14ac:dyDescent="0.25">
      <c r="A3" s="6">
        <f t="shared" si="0"/>
        <v>2</v>
      </c>
      <c r="B3" s="13" t="s">
        <v>9</v>
      </c>
      <c r="C3" s="14"/>
      <c r="D3" s="10"/>
      <c r="E3" s="10">
        <v>1.7361111111111108E-2</v>
      </c>
      <c r="F3" s="10">
        <f t="shared" si="1"/>
        <v>0</v>
      </c>
      <c r="G3" s="11"/>
    </row>
    <row r="4" spans="1:9" x14ac:dyDescent="0.25">
      <c r="A4" s="6">
        <f t="shared" si="0"/>
        <v>3</v>
      </c>
      <c r="B4" s="15" t="s">
        <v>10</v>
      </c>
      <c r="C4" s="14"/>
      <c r="D4" s="10"/>
      <c r="E4" s="10">
        <v>6.9444444444444441E-3</v>
      </c>
      <c r="F4" s="10">
        <f t="shared" si="1"/>
        <v>0</v>
      </c>
      <c r="G4" s="11"/>
    </row>
    <row r="5" spans="1:9" x14ac:dyDescent="0.25">
      <c r="A5" s="6">
        <f t="shared" si="0"/>
        <v>4</v>
      </c>
      <c r="B5" s="13" t="s">
        <v>11</v>
      </c>
      <c r="C5" s="14"/>
      <c r="D5" s="10"/>
      <c r="E5" s="10">
        <v>4.1666666666666657E-2</v>
      </c>
      <c r="F5" s="10">
        <f t="shared" si="1"/>
        <v>0</v>
      </c>
      <c r="G5" s="11"/>
    </row>
    <row r="6" spans="1:9" x14ac:dyDescent="0.25">
      <c r="A6" s="6">
        <f t="shared" si="0"/>
        <v>5</v>
      </c>
      <c r="B6" s="16" t="s">
        <v>12</v>
      </c>
      <c r="C6" s="14"/>
      <c r="D6" s="10"/>
      <c r="E6" s="10"/>
      <c r="F6" s="10">
        <f t="shared" si="1"/>
        <v>0</v>
      </c>
      <c r="G6" s="11"/>
    </row>
    <row r="7" spans="1:9" x14ac:dyDescent="0.25">
      <c r="A7" s="6">
        <f t="shared" si="0"/>
        <v>6</v>
      </c>
      <c r="B7" s="13" t="s">
        <v>13</v>
      </c>
      <c r="C7" s="14"/>
      <c r="D7" s="10"/>
      <c r="E7" s="10"/>
      <c r="F7" s="10">
        <f t="shared" si="1"/>
        <v>0</v>
      </c>
      <c r="G7" s="11"/>
    </row>
    <row r="8" spans="1:9" x14ac:dyDescent="0.25">
      <c r="A8" s="6">
        <f t="shared" si="0"/>
        <v>7</v>
      </c>
      <c r="B8" s="16"/>
      <c r="C8" s="14"/>
      <c r="D8" s="10"/>
      <c r="E8" s="10"/>
      <c r="F8" s="14">
        <f t="shared" si="1"/>
        <v>0</v>
      </c>
      <c r="G8" s="11"/>
    </row>
    <row r="9" spans="1:9" x14ac:dyDescent="0.25">
      <c r="A9" s="6">
        <f t="shared" si="0"/>
        <v>8</v>
      </c>
      <c r="B9" s="16"/>
      <c r="C9" s="14"/>
      <c r="D9" s="10"/>
      <c r="E9" s="10"/>
      <c r="F9" s="10">
        <f t="shared" si="1"/>
        <v>0</v>
      </c>
      <c r="G9" s="11"/>
    </row>
    <row r="10" spans="1:9" x14ac:dyDescent="0.25">
      <c r="A10" s="6">
        <f t="shared" si="0"/>
        <v>9</v>
      </c>
      <c r="B10" s="16"/>
      <c r="C10" s="14"/>
      <c r="D10" s="10"/>
      <c r="E10" s="10"/>
      <c r="F10" s="10">
        <f t="shared" si="1"/>
        <v>0</v>
      </c>
      <c r="G10" s="11"/>
    </row>
    <row r="11" spans="1:9" x14ac:dyDescent="0.25">
      <c r="A11" s="6">
        <f t="shared" si="0"/>
        <v>10</v>
      </c>
      <c r="B11" s="16"/>
      <c r="C11" s="14"/>
      <c r="D11" s="17"/>
      <c r="E11" s="17"/>
      <c r="F11" s="10">
        <f t="shared" si="1"/>
        <v>0</v>
      </c>
      <c r="G11" s="11"/>
    </row>
    <row r="12" spans="1:9" x14ac:dyDescent="0.25">
      <c r="A12" s="6">
        <f t="shared" si="0"/>
        <v>11</v>
      </c>
      <c r="B12" s="16"/>
      <c r="C12" s="14"/>
      <c r="D12" s="17"/>
      <c r="E12" s="17"/>
      <c r="F12" s="10">
        <f t="shared" si="1"/>
        <v>0</v>
      </c>
      <c r="G12" s="11"/>
    </row>
    <row r="13" spans="1:9" x14ac:dyDescent="0.25">
      <c r="A13" s="6">
        <f t="shared" si="0"/>
        <v>12</v>
      </c>
      <c r="B13" s="16"/>
      <c r="C13" s="14"/>
      <c r="D13" s="17"/>
      <c r="E13" s="17"/>
      <c r="F13" s="10">
        <f t="shared" si="1"/>
        <v>0</v>
      </c>
      <c r="G13" s="11"/>
    </row>
    <row r="14" spans="1:9" x14ac:dyDescent="0.25">
      <c r="A14" s="6">
        <f t="shared" si="0"/>
        <v>13</v>
      </c>
      <c r="B14" s="16"/>
      <c r="C14" s="14"/>
      <c r="D14" s="17"/>
      <c r="E14" s="17"/>
      <c r="F14" s="10">
        <f t="shared" si="1"/>
        <v>0</v>
      </c>
      <c r="G14" s="11"/>
    </row>
    <row r="15" spans="1:9" x14ac:dyDescent="0.25">
      <c r="A15" s="6">
        <f t="shared" si="0"/>
        <v>14</v>
      </c>
      <c r="B15" s="16"/>
      <c r="C15" s="14"/>
      <c r="D15" s="17"/>
      <c r="E15" s="17"/>
      <c r="F15" s="10">
        <f t="shared" si="1"/>
        <v>0</v>
      </c>
      <c r="G15" s="11"/>
    </row>
    <row r="16" spans="1:9" x14ac:dyDescent="0.25">
      <c r="A16" s="6">
        <f t="shared" si="0"/>
        <v>15</v>
      </c>
      <c r="B16" s="16"/>
      <c r="C16" s="14"/>
      <c r="D16" s="17"/>
      <c r="E16" s="17"/>
      <c r="F16" s="10">
        <f t="shared" si="1"/>
        <v>0</v>
      </c>
      <c r="G16" s="11"/>
    </row>
    <row r="17" spans="1:7" x14ac:dyDescent="0.25">
      <c r="A17" s="6">
        <f t="shared" si="0"/>
        <v>16</v>
      </c>
      <c r="B17" s="16"/>
      <c r="C17" s="14"/>
      <c r="D17" s="17"/>
      <c r="E17" s="17"/>
      <c r="F17" s="10">
        <f t="shared" si="1"/>
        <v>0</v>
      </c>
      <c r="G17" s="11"/>
    </row>
    <row r="18" spans="1:7" x14ac:dyDescent="0.25">
      <c r="A18" s="6">
        <f t="shared" si="0"/>
        <v>17</v>
      </c>
      <c r="B18" s="16" t="s">
        <v>14</v>
      </c>
      <c r="C18" s="14"/>
      <c r="D18" s="17"/>
      <c r="E18" s="17"/>
      <c r="F18" s="10">
        <f t="shared" si="1"/>
        <v>0</v>
      </c>
      <c r="G18" s="11"/>
    </row>
    <row r="19" spans="1:7" x14ac:dyDescent="0.25">
      <c r="A19" s="6">
        <f t="shared" si="0"/>
        <v>18</v>
      </c>
      <c r="B19" s="16" t="s">
        <v>15</v>
      </c>
      <c r="C19" s="14"/>
      <c r="D19" s="17"/>
      <c r="E19" s="17"/>
      <c r="F19" s="10">
        <f t="shared" si="1"/>
        <v>0</v>
      </c>
      <c r="G19" s="11"/>
    </row>
    <row r="20" spans="1:7" x14ac:dyDescent="0.25">
      <c r="A20" s="6">
        <f t="shared" si="0"/>
        <v>19</v>
      </c>
      <c r="B20" s="16" t="s">
        <v>16</v>
      </c>
      <c r="C20" s="14"/>
      <c r="D20" s="17"/>
      <c r="E20" s="17"/>
      <c r="F20" s="10">
        <f t="shared" si="1"/>
        <v>0</v>
      </c>
      <c r="G20" s="11"/>
    </row>
    <row r="21" spans="1:7" ht="15.75" customHeight="1" thickBot="1" x14ac:dyDescent="0.3">
      <c r="A21" s="6">
        <f t="shared" si="0"/>
        <v>20</v>
      </c>
      <c r="B21" s="16" t="s">
        <v>17</v>
      </c>
      <c r="C21" s="18"/>
      <c r="D21" s="19"/>
      <c r="E21" s="17"/>
      <c r="F21" s="10">
        <f t="shared" si="1"/>
        <v>0</v>
      </c>
      <c r="G21" s="11"/>
    </row>
    <row r="22" spans="1:7" ht="15.75" customHeight="1" thickBot="1" x14ac:dyDescent="0.3">
      <c r="A22" s="20"/>
      <c r="B22" s="21" t="s">
        <v>18</v>
      </c>
      <c r="C22" s="22"/>
      <c r="D22" s="22"/>
      <c r="E22" s="23"/>
      <c r="F22" s="24">
        <f>SUM(F2:F21)</f>
        <v>0</v>
      </c>
      <c r="G22" s="25"/>
    </row>
    <row r="25" spans="1:7" ht="15.75" customHeight="1" thickBot="1" x14ac:dyDescent="0.3"/>
    <row r="26" spans="1:7" ht="15.75" customHeight="1" thickBot="1" x14ac:dyDescent="0.3">
      <c r="A26" s="26" t="s">
        <v>0</v>
      </c>
      <c r="B26" s="27" t="s">
        <v>1</v>
      </c>
      <c r="C26" s="26" t="s">
        <v>19</v>
      </c>
    </row>
    <row r="27" spans="1:7" x14ac:dyDescent="0.25">
      <c r="A27" s="28">
        <v>1</v>
      </c>
      <c r="B27" s="29"/>
      <c r="C27" s="30"/>
    </row>
    <row r="28" spans="1:7" x14ac:dyDescent="0.25">
      <c r="A28" s="28">
        <v>2</v>
      </c>
      <c r="B28" s="29"/>
      <c r="C28" s="30"/>
    </row>
    <row r="29" spans="1:7" x14ac:dyDescent="0.25">
      <c r="A29" s="28">
        <v>3</v>
      </c>
      <c r="B29" s="29"/>
      <c r="C29" s="30"/>
    </row>
    <row r="30" spans="1:7" x14ac:dyDescent="0.25">
      <c r="A30" s="28">
        <v>4</v>
      </c>
      <c r="B30" s="29"/>
      <c r="C30" s="30"/>
    </row>
    <row r="31" spans="1:7" x14ac:dyDescent="0.25">
      <c r="A31" s="28">
        <v>5</v>
      </c>
      <c r="B31" s="29"/>
      <c r="C31" s="30"/>
    </row>
    <row r="32" spans="1:7" x14ac:dyDescent="0.25">
      <c r="A32" s="28">
        <v>6</v>
      </c>
      <c r="B32" s="29"/>
      <c r="C32" s="30"/>
    </row>
    <row r="33" spans="1:3" x14ac:dyDescent="0.25">
      <c r="A33" s="28">
        <v>7</v>
      </c>
      <c r="B33" s="29"/>
      <c r="C33" s="30"/>
    </row>
    <row r="34" spans="1:3" x14ac:dyDescent="0.25">
      <c r="A34" s="28">
        <v>8</v>
      </c>
      <c r="B34" s="29"/>
      <c r="C34" s="30"/>
    </row>
    <row r="35" spans="1:3" x14ac:dyDescent="0.25">
      <c r="A35" s="28">
        <v>9</v>
      </c>
      <c r="B35" s="29"/>
      <c r="C35" s="30"/>
    </row>
    <row r="36" spans="1:3" x14ac:dyDescent="0.25">
      <c r="A36" s="28">
        <v>10</v>
      </c>
      <c r="B36" s="29"/>
      <c r="C36" s="30"/>
    </row>
    <row r="37" spans="1:3" x14ac:dyDescent="0.25">
      <c r="A37" s="28">
        <v>11</v>
      </c>
      <c r="B37" s="29"/>
      <c r="C37" s="30"/>
    </row>
    <row r="38" spans="1:3" x14ac:dyDescent="0.25">
      <c r="A38" s="28">
        <v>12</v>
      </c>
      <c r="B38" s="29"/>
      <c r="C38" s="30"/>
    </row>
    <row r="39" spans="1:3" x14ac:dyDescent="0.25">
      <c r="A39" s="28">
        <v>13</v>
      </c>
      <c r="B39" s="29"/>
      <c r="C39" s="30"/>
    </row>
    <row r="40" spans="1:3" x14ac:dyDescent="0.25">
      <c r="A40" s="28">
        <v>14</v>
      </c>
      <c r="B40" s="29"/>
      <c r="C40" s="30"/>
    </row>
    <row r="41" spans="1:3" x14ac:dyDescent="0.25">
      <c r="A41" s="28">
        <v>15</v>
      </c>
      <c r="B41" s="29"/>
      <c r="C41" s="30"/>
    </row>
    <row r="42" spans="1:3" x14ac:dyDescent="0.25">
      <c r="A42" s="28">
        <v>16</v>
      </c>
      <c r="B42" s="29"/>
      <c r="C42" s="30"/>
    </row>
    <row r="43" spans="1:3" x14ac:dyDescent="0.25">
      <c r="A43" s="28">
        <v>17</v>
      </c>
      <c r="B43" s="29"/>
      <c r="C43" s="30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08"/>
  <sheetViews>
    <sheetView topLeftCell="A87" workbookViewId="0">
      <selection activeCell="B77" sqref="A76:C106"/>
    </sheetView>
  </sheetViews>
  <sheetFormatPr defaultRowHeight="15" x14ac:dyDescent="0.25"/>
  <cols>
    <col min="1" max="1" width="6.7109375" bestFit="1" customWidth="1"/>
    <col min="2" max="2" width="56.7109375" customWidth="1"/>
    <col min="3" max="3" width="9.5703125" bestFit="1" customWidth="1"/>
    <col min="4" max="4" width="8.7109375" bestFit="1" customWidth="1"/>
    <col min="5" max="5" width="12.42578125" bestFit="1" customWidth="1"/>
    <col min="6" max="6" width="10.85546875" bestFit="1" customWidth="1"/>
    <col min="7" max="7" width="6.7109375" bestFit="1" customWidth="1"/>
  </cols>
  <sheetData>
    <row r="1" spans="1:9" ht="15.75" customHeight="1" thickBot="1" x14ac:dyDescent="0.3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2" t="s">
        <v>6</v>
      </c>
    </row>
    <row r="2" spans="1:9" x14ac:dyDescent="0.25">
      <c r="A2" s="6">
        <f t="shared" ref="A2:A21" si="0">ROW() - ROW($A$1)</f>
        <v>1</v>
      </c>
      <c r="B2" s="7" t="s">
        <v>7</v>
      </c>
      <c r="C2" s="8"/>
      <c r="D2" s="9"/>
      <c r="E2" s="9">
        <v>1.388888888888889E-2</v>
      </c>
      <c r="F2" s="10">
        <f t="shared" ref="F2:F21" si="1">D2-C2</f>
        <v>0</v>
      </c>
      <c r="G2" s="11"/>
      <c r="I2" s="12" t="s">
        <v>8</v>
      </c>
    </row>
    <row r="3" spans="1:9" x14ac:dyDescent="0.25">
      <c r="A3" s="6">
        <f t="shared" si="0"/>
        <v>2</v>
      </c>
      <c r="B3" s="13" t="s">
        <v>9</v>
      </c>
      <c r="C3" s="14"/>
      <c r="D3" s="10"/>
      <c r="E3" s="10">
        <v>1.7361111111111108E-2</v>
      </c>
      <c r="F3" s="10">
        <f t="shared" si="1"/>
        <v>0</v>
      </c>
      <c r="G3" s="11"/>
    </row>
    <row r="4" spans="1:9" x14ac:dyDescent="0.25">
      <c r="A4" s="6">
        <f t="shared" si="0"/>
        <v>3</v>
      </c>
      <c r="B4" s="15" t="s">
        <v>10</v>
      </c>
      <c r="C4" s="14"/>
      <c r="D4" s="10"/>
      <c r="E4" s="10">
        <v>6.9444444444444441E-3</v>
      </c>
      <c r="F4" s="10">
        <f t="shared" si="1"/>
        <v>0</v>
      </c>
      <c r="G4" s="11"/>
    </row>
    <row r="5" spans="1:9" x14ac:dyDescent="0.25">
      <c r="A5" s="6">
        <f t="shared" si="0"/>
        <v>4</v>
      </c>
      <c r="B5" s="13" t="s">
        <v>11</v>
      </c>
      <c r="C5" s="14"/>
      <c r="D5" s="10"/>
      <c r="E5" s="10">
        <v>4.1666666666666657E-2</v>
      </c>
      <c r="F5" s="10">
        <f t="shared" si="1"/>
        <v>0</v>
      </c>
      <c r="G5" s="11"/>
    </row>
    <row r="6" spans="1:9" x14ac:dyDescent="0.25">
      <c r="A6" s="6">
        <f t="shared" si="0"/>
        <v>5</v>
      </c>
      <c r="B6" s="16" t="s">
        <v>12</v>
      </c>
      <c r="C6" s="14"/>
      <c r="D6" s="10"/>
      <c r="E6" s="10"/>
      <c r="F6" s="10">
        <f t="shared" si="1"/>
        <v>0</v>
      </c>
      <c r="G6" s="11"/>
    </row>
    <row r="7" spans="1:9" x14ac:dyDescent="0.25">
      <c r="A7" s="6">
        <f t="shared" si="0"/>
        <v>6</v>
      </c>
      <c r="B7" s="13" t="s">
        <v>13</v>
      </c>
      <c r="C7" s="14"/>
      <c r="D7" s="10"/>
      <c r="E7" s="10"/>
      <c r="F7" s="10">
        <f t="shared" si="1"/>
        <v>0</v>
      </c>
      <c r="G7" s="11"/>
    </row>
    <row r="8" spans="1:9" x14ac:dyDescent="0.25">
      <c r="A8" s="6">
        <f t="shared" si="0"/>
        <v>7</v>
      </c>
      <c r="B8" s="16"/>
      <c r="C8" s="14"/>
      <c r="D8" s="10"/>
      <c r="E8" s="10"/>
      <c r="F8" s="14">
        <f t="shared" si="1"/>
        <v>0</v>
      </c>
      <c r="G8" s="11"/>
    </row>
    <row r="9" spans="1:9" x14ac:dyDescent="0.25">
      <c r="A9" s="6">
        <f t="shared" si="0"/>
        <v>8</v>
      </c>
      <c r="B9" s="16"/>
      <c r="C9" s="14"/>
      <c r="D9" s="10"/>
      <c r="E9" s="10"/>
      <c r="F9" s="10">
        <f t="shared" si="1"/>
        <v>0</v>
      </c>
      <c r="G9" s="11"/>
    </row>
    <row r="10" spans="1:9" x14ac:dyDescent="0.25">
      <c r="A10" s="6">
        <f t="shared" si="0"/>
        <v>9</v>
      </c>
      <c r="B10" s="16"/>
      <c r="C10" s="14"/>
      <c r="D10" s="10"/>
      <c r="E10" s="10"/>
      <c r="F10" s="10">
        <f t="shared" si="1"/>
        <v>0</v>
      </c>
      <c r="G10" s="11"/>
    </row>
    <row r="11" spans="1:9" x14ac:dyDescent="0.25">
      <c r="A11" s="6">
        <f t="shared" si="0"/>
        <v>10</v>
      </c>
      <c r="B11" s="16"/>
      <c r="C11" s="14"/>
      <c r="D11" s="17"/>
      <c r="E11" s="17"/>
      <c r="F11" s="10">
        <f t="shared" si="1"/>
        <v>0</v>
      </c>
      <c r="G11" s="11"/>
    </row>
    <row r="12" spans="1:9" x14ac:dyDescent="0.25">
      <c r="A12" s="6">
        <f t="shared" si="0"/>
        <v>11</v>
      </c>
      <c r="B12" s="16"/>
      <c r="C12" s="14"/>
      <c r="D12" s="17"/>
      <c r="E12" s="17"/>
      <c r="F12" s="10">
        <f t="shared" si="1"/>
        <v>0</v>
      </c>
      <c r="G12" s="11"/>
    </row>
    <row r="13" spans="1:9" x14ac:dyDescent="0.25">
      <c r="A13" s="6">
        <f t="shared" si="0"/>
        <v>12</v>
      </c>
      <c r="B13" s="16"/>
      <c r="C13" s="14"/>
      <c r="D13" s="17"/>
      <c r="E13" s="17"/>
      <c r="F13" s="10">
        <f t="shared" si="1"/>
        <v>0</v>
      </c>
      <c r="G13" s="11"/>
    </row>
    <row r="14" spans="1:9" x14ac:dyDescent="0.25">
      <c r="A14" s="6">
        <f t="shared" si="0"/>
        <v>13</v>
      </c>
      <c r="B14" s="16"/>
      <c r="C14" s="14"/>
      <c r="D14" s="17"/>
      <c r="E14" s="17"/>
      <c r="F14" s="10">
        <f t="shared" si="1"/>
        <v>0</v>
      </c>
      <c r="G14" s="11"/>
    </row>
    <row r="15" spans="1:9" x14ac:dyDescent="0.25">
      <c r="A15" s="6">
        <f t="shared" si="0"/>
        <v>14</v>
      </c>
      <c r="B15" s="16"/>
      <c r="C15" s="14"/>
      <c r="D15" s="17"/>
      <c r="E15" s="17"/>
      <c r="F15" s="10">
        <f t="shared" si="1"/>
        <v>0</v>
      </c>
      <c r="G15" s="11"/>
    </row>
    <row r="16" spans="1:9" x14ac:dyDescent="0.25">
      <c r="A16" s="6">
        <f t="shared" si="0"/>
        <v>15</v>
      </c>
      <c r="B16" s="16"/>
      <c r="C16" s="14"/>
      <c r="D16" s="17"/>
      <c r="E16" s="17"/>
      <c r="F16" s="10">
        <f t="shared" si="1"/>
        <v>0</v>
      </c>
      <c r="G16" s="11"/>
    </row>
    <row r="17" spans="1:7" x14ac:dyDescent="0.25">
      <c r="A17" s="6">
        <f t="shared" si="0"/>
        <v>16</v>
      </c>
      <c r="B17" s="16"/>
      <c r="C17" s="14"/>
      <c r="D17" s="17"/>
      <c r="E17" s="17"/>
      <c r="F17" s="10">
        <f t="shared" si="1"/>
        <v>0</v>
      </c>
      <c r="G17" s="11"/>
    </row>
    <row r="18" spans="1:7" x14ac:dyDescent="0.25">
      <c r="A18" s="6">
        <f t="shared" si="0"/>
        <v>17</v>
      </c>
      <c r="B18" s="16" t="s">
        <v>14</v>
      </c>
      <c r="C18" s="14"/>
      <c r="D18" s="17"/>
      <c r="E18" s="17"/>
      <c r="F18" s="10">
        <f t="shared" si="1"/>
        <v>0</v>
      </c>
      <c r="G18" s="11"/>
    </row>
    <row r="19" spans="1:7" x14ac:dyDescent="0.25">
      <c r="A19" s="6">
        <f t="shared" si="0"/>
        <v>18</v>
      </c>
      <c r="B19" s="16" t="s">
        <v>15</v>
      </c>
      <c r="C19" s="14"/>
      <c r="D19" s="17"/>
      <c r="E19" s="17"/>
      <c r="F19" s="10">
        <f t="shared" si="1"/>
        <v>0</v>
      </c>
      <c r="G19" s="11"/>
    </row>
    <row r="20" spans="1:7" x14ac:dyDescent="0.25">
      <c r="A20" s="6">
        <f t="shared" si="0"/>
        <v>19</v>
      </c>
      <c r="B20" s="16" t="s">
        <v>16</v>
      </c>
      <c r="C20" s="14"/>
      <c r="D20" s="17"/>
      <c r="E20" s="17"/>
      <c r="F20" s="10">
        <f t="shared" si="1"/>
        <v>0</v>
      </c>
      <c r="G20" s="11"/>
    </row>
    <row r="21" spans="1:7" ht="15.75" customHeight="1" thickBot="1" x14ac:dyDescent="0.3">
      <c r="A21" s="6">
        <f t="shared" si="0"/>
        <v>20</v>
      </c>
      <c r="B21" s="16" t="s">
        <v>17</v>
      </c>
      <c r="C21" s="18"/>
      <c r="D21" s="19"/>
      <c r="E21" s="17"/>
      <c r="F21" s="10">
        <f t="shared" si="1"/>
        <v>0</v>
      </c>
      <c r="G21" s="11"/>
    </row>
    <row r="22" spans="1:7" ht="15.75" customHeight="1" thickBot="1" x14ac:dyDescent="0.3">
      <c r="A22" s="20"/>
      <c r="B22" s="21" t="s">
        <v>18</v>
      </c>
      <c r="C22" s="22"/>
      <c r="D22" s="22"/>
      <c r="E22" s="23"/>
      <c r="F22" s="24">
        <f>SUM(F2:F21)</f>
        <v>0</v>
      </c>
      <c r="G22" s="25"/>
    </row>
    <row r="25" spans="1:7" ht="15.75" customHeight="1" thickBot="1" x14ac:dyDescent="0.3"/>
    <row r="26" spans="1:7" ht="15.75" customHeight="1" thickBot="1" x14ac:dyDescent="0.3">
      <c r="A26" s="26" t="s">
        <v>0</v>
      </c>
      <c r="B26" s="27" t="s">
        <v>1</v>
      </c>
      <c r="C26" s="26" t="s">
        <v>19</v>
      </c>
    </row>
    <row r="27" spans="1:7" x14ac:dyDescent="0.25">
      <c r="A27" s="28">
        <v>1</v>
      </c>
      <c r="B27" s="29"/>
      <c r="C27" s="30"/>
    </row>
    <row r="28" spans="1:7" x14ac:dyDescent="0.25">
      <c r="A28" s="28">
        <v>2</v>
      </c>
      <c r="B28" s="29"/>
      <c r="C28" s="30"/>
    </row>
    <row r="29" spans="1:7" x14ac:dyDescent="0.25">
      <c r="A29" s="28">
        <v>3</v>
      </c>
      <c r="B29" s="29"/>
      <c r="C29" s="30"/>
    </row>
    <row r="30" spans="1:7" x14ac:dyDescent="0.25">
      <c r="A30" s="28">
        <v>4</v>
      </c>
      <c r="B30" s="29"/>
      <c r="C30" s="30"/>
    </row>
    <row r="31" spans="1:7" x14ac:dyDescent="0.25">
      <c r="A31" s="28">
        <v>5</v>
      </c>
      <c r="B31" s="29"/>
      <c r="C31" s="30"/>
    </row>
    <row r="32" spans="1:7" x14ac:dyDescent="0.25">
      <c r="A32" s="28">
        <v>6</v>
      </c>
      <c r="B32" s="29"/>
      <c r="C32" s="30"/>
    </row>
    <row r="33" spans="1:3" x14ac:dyDescent="0.25">
      <c r="A33" s="28">
        <v>7</v>
      </c>
      <c r="B33" s="29"/>
      <c r="C33" s="30"/>
    </row>
    <row r="34" spans="1:3" x14ac:dyDescent="0.25">
      <c r="A34" s="28">
        <v>8</v>
      </c>
      <c r="B34" s="29"/>
      <c r="C34" s="30"/>
    </row>
    <row r="35" spans="1:3" x14ac:dyDescent="0.25">
      <c r="A35" s="28">
        <v>9</v>
      </c>
      <c r="B35" s="29"/>
      <c r="C35" s="30"/>
    </row>
    <row r="36" spans="1:3" x14ac:dyDescent="0.25">
      <c r="A36" s="28">
        <v>10</v>
      </c>
      <c r="B36" s="29"/>
      <c r="C36" s="30"/>
    </row>
    <row r="37" spans="1:3" x14ac:dyDescent="0.25">
      <c r="A37" s="28">
        <v>11</v>
      </c>
      <c r="B37" s="29"/>
      <c r="C37" s="30"/>
    </row>
    <row r="38" spans="1:3" x14ac:dyDescent="0.25">
      <c r="A38" s="28">
        <v>12</v>
      </c>
      <c r="B38" s="29"/>
      <c r="C38" s="30"/>
    </row>
    <row r="39" spans="1:3" x14ac:dyDescent="0.25">
      <c r="A39" s="28">
        <v>13</v>
      </c>
      <c r="B39" s="29"/>
      <c r="C39" s="30"/>
    </row>
    <row r="40" spans="1:3" x14ac:dyDescent="0.25">
      <c r="A40" s="28">
        <v>14</v>
      </c>
      <c r="B40" s="29"/>
      <c r="C40" s="30"/>
    </row>
    <row r="41" spans="1:3" x14ac:dyDescent="0.25">
      <c r="A41" s="28">
        <v>15</v>
      </c>
      <c r="B41" s="29"/>
      <c r="C41" s="30"/>
    </row>
    <row r="42" spans="1:3" x14ac:dyDescent="0.25">
      <c r="A42" s="28">
        <v>16</v>
      </c>
      <c r="B42" s="29"/>
      <c r="C42" s="30"/>
    </row>
    <row r="43" spans="1:3" x14ac:dyDescent="0.25">
      <c r="A43" s="28">
        <v>17</v>
      </c>
      <c r="B43" s="29"/>
      <c r="C43" s="30"/>
    </row>
    <row r="58" spans="2:2" ht="31.15" customHeight="1" x14ac:dyDescent="0.25">
      <c r="B58" s="51" t="s">
        <v>47</v>
      </c>
    </row>
    <row r="59" spans="2:2" x14ac:dyDescent="0.25">
      <c r="B59" s="52"/>
    </row>
    <row r="60" spans="2:2" x14ac:dyDescent="0.25">
      <c r="B60" s="52" t="s">
        <v>48</v>
      </c>
    </row>
    <row r="61" spans="2:2" x14ac:dyDescent="0.25">
      <c r="B61" s="52" t="s">
        <v>49</v>
      </c>
    </row>
    <row r="62" spans="2:2" x14ac:dyDescent="0.25">
      <c r="B62" s="52" t="s">
        <v>50</v>
      </c>
    </row>
    <row r="63" spans="2:2" x14ac:dyDescent="0.25">
      <c r="B63" s="52" t="s">
        <v>51</v>
      </c>
    </row>
    <row r="64" spans="2:2" x14ac:dyDescent="0.25">
      <c r="B64" s="52" t="s">
        <v>52</v>
      </c>
    </row>
    <row r="65" spans="1:6" x14ac:dyDescent="0.25">
      <c r="B65" s="52" t="s">
        <v>53</v>
      </c>
    </row>
    <row r="75" spans="1:6" ht="15" customHeight="1" thickBot="1" x14ac:dyDescent="0.3"/>
    <row r="76" spans="1:6" ht="15" customHeight="1" thickBot="1" x14ac:dyDescent="0.3">
      <c r="A76" s="26" t="s">
        <v>0</v>
      </c>
      <c r="B76" s="26" t="s">
        <v>1</v>
      </c>
      <c r="C76" s="26" t="s">
        <v>19</v>
      </c>
    </row>
    <row r="77" spans="1:6" x14ac:dyDescent="0.25">
      <c r="A77" s="28">
        <v>1</v>
      </c>
      <c r="B77" s="53" t="s">
        <v>34</v>
      </c>
      <c r="C77" s="30">
        <v>1.041666666666667E-2</v>
      </c>
    </row>
    <row r="78" spans="1:6" x14ac:dyDescent="0.25">
      <c r="A78" s="28">
        <v>2</v>
      </c>
      <c r="B78" s="53" t="s">
        <v>7</v>
      </c>
      <c r="C78" s="30">
        <v>1.041666666666667E-2</v>
      </c>
    </row>
    <row r="79" spans="1:6" x14ac:dyDescent="0.25">
      <c r="A79" s="28">
        <v>3</v>
      </c>
      <c r="B79" s="53" t="s">
        <v>35</v>
      </c>
      <c r="C79" s="30">
        <v>3.472222222222222E-3</v>
      </c>
    </row>
    <row r="80" spans="1:6" x14ac:dyDescent="0.25">
      <c r="A80" s="28">
        <v>4</v>
      </c>
      <c r="B80" s="53" t="s">
        <v>9</v>
      </c>
      <c r="C80" s="30">
        <v>3.472222222222222E-3</v>
      </c>
      <c r="F80" s="53"/>
    </row>
    <row r="81" spans="1:3" x14ac:dyDescent="0.25">
      <c r="A81" s="28">
        <v>5</v>
      </c>
      <c r="B81" s="53" t="s">
        <v>36</v>
      </c>
      <c r="C81" s="30">
        <v>1.041666666666667E-2</v>
      </c>
    </row>
    <row r="82" spans="1:3" x14ac:dyDescent="0.25">
      <c r="A82" s="28">
        <v>6</v>
      </c>
      <c r="B82" s="53" t="s">
        <v>10</v>
      </c>
      <c r="C82" s="30">
        <v>1.041666666666667E-2</v>
      </c>
    </row>
    <row r="83" spans="1:3" x14ac:dyDescent="0.25">
      <c r="A83" s="28">
        <v>7</v>
      </c>
      <c r="B83" s="53" t="s">
        <v>54</v>
      </c>
      <c r="C83" s="30">
        <v>1.041666666666667E-2</v>
      </c>
    </row>
    <row r="84" spans="1:3" x14ac:dyDescent="0.25">
      <c r="A84" s="28">
        <v>8</v>
      </c>
      <c r="B84" s="53" t="s">
        <v>55</v>
      </c>
      <c r="C84" s="30">
        <v>1.041666666666667E-2</v>
      </c>
    </row>
    <row r="85" spans="1:3" x14ac:dyDescent="0.25">
      <c r="A85" s="28">
        <v>9</v>
      </c>
      <c r="B85" s="53" t="s">
        <v>37</v>
      </c>
      <c r="C85" s="30">
        <v>3.472222222222222E-3</v>
      </c>
    </row>
    <row r="86" spans="1:3" x14ac:dyDescent="0.25">
      <c r="A86" s="28">
        <v>10</v>
      </c>
      <c r="B86" s="53" t="s">
        <v>38</v>
      </c>
      <c r="C86" s="30">
        <v>3.472222222222222E-3</v>
      </c>
    </row>
    <row r="87" spans="1:3" x14ac:dyDescent="0.25">
      <c r="A87" s="28">
        <v>11</v>
      </c>
      <c r="B87" s="53" t="s">
        <v>56</v>
      </c>
      <c r="C87" s="30">
        <v>1.041666666666667E-2</v>
      </c>
    </row>
    <row r="88" spans="1:3" x14ac:dyDescent="0.25">
      <c r="A88" s="28">
        <v>12</v>
      </c>
      <c r="B88" s="53" t="s">
        <v>57</v>
      </c>
      <c r="C88" s="30">
        <v>1.7361111111111108E-2</v>
      </c>
    </row>
    <row r="89" spans="1:3" x14ac:dyDescent="0.25">
      <c r="A89" s="28">
        <v>13</v>
      </c>
      <c r="B89" s="53" t="s">
        <v>58</v>
      </c>
      <c r="C89" s="30">
        <v>6.9444444444444441E-3</v>
      </c>
    </row>
    <row r="90" spans="1:3" x14ac:dyDescent="0.25">
      <c r="A90" s="28">
        <v>14</v>
      </c>
      <c r="B90" s="53" t="s">
        <v>59</v>
      </c>
      <c r="C90" s="30">
        <v>6.9444444444444441E-3</v>
      </c>
    </row>
    <row r="91" spans="1:3" x14ac:dyDescent="0.25">
      <c r="A91" s="28">
        <v>15</v>
      </c>
      <c r="B91" s="53" t="s">
        <v>39</v>
      </c>
      <c r="C91" s="30">
        <v>1.041666666666667E-2</v>
      </c>
    </row>
    <row r="92" spans="1:3" x14ac:dyDescent="0.25">
      <c r="A92" s="28">
        <v>16</v>
      </c>
      <c r="B92" s="53" t="s">
        <v>27</v>
      </c>
      <c r="C92" s="30">
        <v>1.041666666666667E-2</v>
      </c>
    </row>
    <row r="93" spans="1:3" x14ac:dyDescent="0.25">
      <c r="A93" s="28">
        <v>17</v>
      </c>
      <c r="B93" s="53" t="s">
        <v>60</v>
      </c>
      <c r="C93" s="30">
        <v>1.388888888888889E-2</v>
      </c>
    </row>
    <row r="94" spans="1:3" x14ac:dyDescent="0.25">
      <c r="A94" s="28">
        <v>18</v>
      </c>
      <c r="B94" s="53" t="s">
        <v>28</v>
      </c>
      <c r="C94" s="30">
        <v>1.388888888888889E-2</v>
      </c>
    </row>
    <row r="95" spans="1:3" x14ac:dyDescent="0.25">
      <c r="A95" s="28">
        <v>19</v>
      </c>
      <c r="B95" s="53" t="s">
        <v>61</v>
      </c>
      <c r="C95" s="30">
        <v>1.388888888888889E-2</v>
      </c>
    </row>
    <row r="96" spans="1:3" x14ac:dyDescent="0.25">
      <c r="A96" s="28">
        <v>20</v>
      </c>
      <c r="B96" s="53" t="s">
        <v>62</v>
      </c>
      <c r="C96" s="30">
        <v>3.125E-2</v>
      </c>
    </row>
    <row r="97" spans="1:3" x14ac:dyDescent="0.25">
      <c r="A97" s="28">
        <v>21</v>
      </c>
      <c r="B97" s="53" t="s">
        <v>63</v>
      </c>
      <c r="C97" s="30">
        <v>1.7361111111111108E-2</v>
      </c>
    </row>
    <row r="98" spans="1:3" x14ac:dyDescent="0.25">
      <c r="A98" s="28">
        <v>22</v>
      </c>
      <c r="B98" s="53" t="s">
        <v>64</v>
      </c>
      <c r="C98" s="30">
        <v>1.7361111111111108E-2</v>
      </c>
    </row>
    <row r="99" spans="1:3" x14ac:dyDescent="0.25">
      <c r="A99" s="28">
        <v>23</v>
      </c>
      <c r="B99" s="53" t="s">
        <v>65</v>
      </c>
      <c r="C99" s="30">
        <v>1.7361111111111108E-2</v>
      </c>
    </row>
    <row r="100" spans="1:3" x14ac:dyDescent="0.25">
      <c r="A100" s="28">
        <v>24</v>
      </c>
      <c r="B100" s="53" t="s">
        <v>41</v>
      </c>
      <c r="C100" s="30">
        <v>3.472222222222222E-3</v>
      </c>
    </row>
    <row r="101" spans="1:3" x14ac:dyDescent="0.25">
      <c r="A101" s="28">
        <v>25</v>
      </c>
      <c r="B101" s="53" t="s">
        <v>14</v>
      </c>
      <c r="C101" s="30">
        <v>3.472222222222222E-3</v>
      </c>
    </row>
    <row r="102" spans="1:3" x14ac:dyDescent="0.25">
      <c r="A102" s="28">
        <v>26</v>
      </c>
      <c r="B102" s="53" t="s">
        <v>42</v>
      </c>
      <c r="C102" s="30">
        <v>2.0833333333333329E-2</v>
      </c>
    </row>
    <row r="103" spans="1:3" x14ac:dyDescent="0.25">
      <c r="A103" s="28">
        <v>27</v>
      </c>
      <c r="B103" s="53" t="s">
        <v>15</v>
      </c>
      <c r="C103" s="30">
        <v>2.0833333333333329E-2</v>
      </c>
    </row>
    <row r="104" spans="1:3" x14ac:dyDescent="0.25">
      <c r="A104" s="28">
        <v>28</v>
      </c>
      <c r="B104" s="53" t="s">
        <v>66</v>
      </c>
      <c r="C104" s="30">
        <v>6.9444444444444441E-3</v>
      </c>
    </row>
    <row r="105" spans="1:3" x14ac:dyDescent="0.25">
      <c r="A105" s="28">
        <v>29</v>
      </c>
      <c r="B105" s="53" t="s">
        <v>44</v>
      </c>
      <c r="C105" s="30">
        <v>6.9444444444444441E-3</v>
      </c>
    </row>
    <row r="106" spans="1:3" ht="15" customHeight="1" thickBot="1" x14ac:dyDescent="0.3">
      <c r="A106" s="43">
        <v>30</v>
      </c>
      <c r="B106" s="54" t="s">
        <v>46</v>
      </c>
      <c r="C106" s="45">
        <v>6.9444444444444441E-3</v>
      </c>
    </row>
    <row r="107" spans="1:3" x14ac:dyDescent="0.25">
      <c r="C107" s="32"/>
    </row>
    <row r="108" spans="1:3" x14ac:dyDescent="0.25">
      <c r="C108" s="32">
        <f>SUM(C77:C106)</f>
        <v>0.3333333333333332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57"/>
  <sheetViews>
    <sheetView topLeftCell="A25" workbookViewId="0">
      <selection activeCell="A26" sqref="A26:C55"/>
    </sheetView>
  </sheetViews>
  <sheetFormatPr defaultRowHeight="15" x14ac:dyDescent="0.25"/>
  <cols>
    <col min="1" max="1" width="6.7109375" bestFit="1" customWidth="1"/>
    <col min="2" max="2" width="56.7109375" customWidth="1"/>
    <col min="3" max="3" width="9.5703125" bestFit="1" customWidth="1"/>
    <col min="4" max="4" width="8.7109375" bestFit="1" customWidth="1"/>
    <col min="5" max="5" width="12.42578125" bestFit="1" customWidth="1"/>
    <col min="6" max="6" width="10.85546875" bestFit="1" customWidth="1"/>
    <col min="7" max="7" width="6.7109375" bestFit="1" customWidth="1"/>
  </cols>
  <sheetData>
    <row r="1" spans="1:9" ht="15.75" customHeight="1" thickBot="1" x14ac:dyDescent="0.3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2" t="s">
        <v>6</v>
      </c>
    </row>
    <row r="2" spans="1:9" x14ac:dyDescent="0.25">
      <c r="A2" s="6">
        <f t="shared" ref="A2:A21" si="0">ROW() - ROW($A$1)</f>
        <v>1</v>
      </c>
      <c r="B2" s="7" t="s">
        <v>7</v>
      </c>
      <c r="C2" s="8"/>
      <c r="D2" s="9"/>
      <c r="E2" s="9">
        <v>1.388888888888889E-2</v>
      </c>
      <c r="F2" s="10">
        <f t="shared" ref="F2:F21" si="1">D2-C2</f>
        <v>0</v>
      </c>
      <c r="G2" s="11"/>
      <c r="I2" s="12" t="s">
        <v>8</v>
      </c>
    </row>
    <row r="3" spans="1:9" x14ac:dyDescent="0.25">
      <c r="A3" s="6">
        <f t="shared" si="0"/>
        <v>2</v>
      </c>
      <c r="B3" s="13" t="s">
        <v>9</v>
      </c>
      <c r="C3" s="14"/>
      <c r="D3" s="10"/>
      <c r="E3" s="10">
        <v>1.7361111111111108E-2</v>
      </c>
      <c r="F3" s="10">
        <f t="shared" si="1"/>
        <v>0</v>
      </c>
      <c r="G3" s="11"/>
    </row>
    <row r="4" spans="1:9" x14ac:dyDescent="0.25">
      <c r="A4" s="6">
        <f t="shared" si="0"/>
        <v>3</v>
      </c>
      <c r="B4" s="15" t="s">
        <v>10</v>
      </c>
      <c r="C4" s="14"/>
      <c r="D4" s="10"/>
      <c r="E4" s="10">
        <v>6.9444444444444441E-3</v>
      </c>
      <c r="F4" s="10">
        <f t="shared" si="1"/>
        <v>0</v>
      </c>
      <c r="G4" s="11"/>
    </row>
    <row r="5" spans="1:9" x14ac:dyDescent="0.25">
      <c r="A5" s="6">
        <f t="shared" si="0"/>
        <v>4</v>
      </c>
      <c r="B5" s="13" t="s">
        <v>11</v>
      </c>
      <c r="C5" s="14"/>
      <c r="D5" s="10"/>
      <c r="E5" s="10">
        <v>4.1666666666666657E-2</v>
      </c>
      <c r="F5" s="10">
        <f t="shared" si="1"/>
        <v>0</v>
      </c>
      <c r="G5" s="11"/>
    </row>
    <row r="6" spans="1:9" x14ac:dyDescent="0.25">
      <c r="A6" s="6">
        <f t="shared" si="0"/>
        <v>5</v>
      </c>
      <c r="B6" s="16" t="s">
        <v>12</v>
      </c>
      <c r="C6" s="14"/>
      <c r="D6" s="10"/>
      <c r="E6" s="10"/>
      <c r="F6" s="10">
        <f t="shared" si="1"/>
        <v>0</v>
      </c>
      <c r="G6" s="11"/>
    </row>
    <row r="7" spans="1:9" x14ac:dyDescent="0.25">
      <c r="A7" s="6">
        <f t="shared" si="0"/>
        <v>6</v>
      </c>
      <c r="B7" s="13" t="s">
        <v>13</v>
      </c>
      <c r="C7" s="14"/>
      <c r="D7" s="10"/>
      <c r="E7" s="10"/>
      <c r="F7" s="10">
        <f t="shared" si="1"/>
        <v>0</v>
      </c>
      <c r="G7" s="11"/>
    </row>
    <row r="8" spans="1:9" x14ac:dyDescent="0.25">
      <c r="A8" s="6">
        <f t="shared" si="0"/>
        <v>7</v>
      </c>
      <c r="B8" s="16"/>
      <c r="C8" s="14"/>
      <c r="D8" s="10"/>
      <c r="E8" s="10"/>
      <c r="F8" s="14">
        <f t="shared" si="1"/>
        <v>0</v>
      </c>
      <c r="G8" s="11"/>
    </row>
    <row r="9" spans="1:9" x14ac:dyDescent="0.25">
      <c r="A9" s="6">
        <f t="shared" si="0"/>
        <v>8</v>
      </c>
      <c r="B9" s="16"/>
      <c r="C9" s="14"/>
      <c r="D9" s="10"/>
      <c r="E9" s="10"/>
      <c r="F9" s="10">
        <f t="shared" si="1"/>
        <v>0</v>
      </c>
      <c r="G9" s="11"/>
    </row>
    <row r="10" spans="1:9" x14ac:dyDescent="0.25">
      <c r="A10" s="6">
        <f t="shared" si="0"/>
        <v>9</v>
      </c>
      <c r="B10" s="16"/>
      <c r="C10" s="14"/>
      <c r="D10" s="10"/>
      <c r="E10" s="10"/>
      <c r="F10" s="10">
        <f t="shared" si="1"/>
        <v>0</v>
      </c>
      <c r="G10" s="11"/>
    </row>
    <row r="11" spans="1:9" x14ac:dyDescent="0.25">
      <c r="A11" s="6">
        <f t="shared" si="0"/>
        <v>10</v>
      </c>
      <c r="B11" s="16"/>
      <c r="C11" s="14"/>
      <c r="D11" s="17"/>
      <c r="E11" s="17"/>
      <c r="F11" s="10">
        <f t="shared" si="1"/>
        <v>0</v>
      </c>
      <c r="G11" s="11"/>
    </row>
    <row r="12" spans="1:9" x14ac:dyDescent="0.25">
      <c r="A12" s="6">
        <f t="shared" si="0"/>
        <v>11</v>
      </c>
      <c r="B12" s="16"/>
      <c r="C12" s="14"/>
      <c r="D12" s="17"/>
      <c r="E12" s="17"/>
      <c r="F12" s="10">
        <f t="shared" si="1"/>
        <v>0</v>
      </c>
      <c r="G12" s="11"/>
    </row>
    <row r="13" spans="1:9" x14ac:dyDescent="0.25">
      <c r="A13" s="6">
        <f t="shared" si="0"/>
        <v>12</v>
      </c>
      <c r="B13" s="16"/>
      <c r="C13" s="14"/>
      <c r="D13" s="17"/>
      <c r="E13" s="17"/>
      <c r="F13" s="10">
        <f t="shared" si="1"/>
        <v>0</v>
      </c>
      <c r="G13" s="11"/>
    </row>
    <row r="14" spans="1:9" x14ac:dyDescent="0.25">
      <c r="A14" s="6">
        <f t="shared" si="0"/>
        <v>13</v>
      </c>
      <c r="B14" s="16"/>
      <c r="C14" s="14"/>
      <c r="D14" s="17"/>
      <c r="E14" s="17"/>
      <c r="F14" s="10">
        <f t="shared" si="1"/>
        <v>0</v>
      </c>
      <c r="G14" s="11"/>
    </row>
    <row r="15" spans="1:9" x14ac:dyDescent="0.25">
      <c r="A15" s="6">
        <f t="shared" si="0"/>
        <v>14</v>
      </c>
      <c r="B15" s="16"/>
      <c r="C15" s="14"/>
      <c r="D15" s="17"/>
      <c r="E15" s="17"/>
      <c r="F15" s="10">
        <f t="shared" si="1"/>
        <v>0</v>
      </c>
      <c r="G15" s="11"/>
    </row>
    <row r="16" spans="1:9" x14ac:dyDescent="0.25">
      <c r="A16" s="6">
        <f t="shared" si="0"/>
        <v>15</v>
      </c>
      <c r="B16" s="16"/>
      <c r="C16" s="14"/>
      <c r="D16" s="17"/>
      <c r="E16" s="17"/>
      <c r="F16" s="10">
        <f t="shared" si="1"/>
        <v>0</v>
      </c>
      <c r="G16" s="11"/>
    </row>
    <row r="17" spans="1:7" x14ac:dyDescent="0.25">
      <c r="A17" s="6">
        <f t="shared" si="0"/>
        <v>16</v>
      </c>
      <c r="B17" s="16"/>
      <c r="C17" s="14"/>
      <c r="D17" s="17"/>
      <c r="E17" s="17"/>
      <c r="F17" s="10">
        <f t="shared" si="1"/>
        <v>0</v>
      </c>
      <c r="G17" s="11"/>
    </row>
    <row r="18" spans="1:7" x14ac:dyDescent="0.25">
      <c r="A18" s="6">
        <f t="shared" si="0"/>
        <v>17</v>
      </c>
      <c r="B18" s="16" t="s">
        <v>14</v>
      </c>
      <c r="C18" s="14"/>
      <c r="D18" s="17"/>
      <c r="E18" s="17"/>
      <c r="F18" s="10">
        <f t="shared" si="1"/>
        <v>0</v>
      </c>
      <c r="G18" s="11"/>
    </row>
    <row r="19" spans="1:7" x14ac:dyDescent="0.25">
      <c r="A19" s="6">
        <f t="shared" si="0"/>
        <v>18</v>
      </c>
      <c r="B19" s="16" t="s">
        <v>15</v>
      </c>
      <c r="C19" s="14"/>
      <c r="D19" s="17"/>
      <c r="E19" s="17"/>
      <c r="F19" s="10">
        <f t="shared" si="1"/>
        <v>0</v>
      </c>
      <c r="G19" s="11"/>
    </row>
    <row r="20" spans="1:7" x14ac:dyDescent="0.25">
      <c r="A20" s="6">
        <f t="shared" si="0"/>
        <v>19</v>
      </c>
      <c r="B20" s="16" t="s">
        <v>16</v>
      </c>
      <c r="C20" s="14"/>
      <c r="D20" s="17"/>
      <c r="E20" s="17"/>
      <c r="F20" s="10">
        <f t="shared" si="1"/>
        <v>0</v>
      </c>
      <c r="G20" s="11"/>
    </row>
    <row r="21" spans="1:7" ht="15.75" customHeight="1" thickBot="1" x14ac:dyDescent="0.3">
      <c r="A21" s="6">
        <f t="shared" si="0"/>
        <v>20</v>
      </c>
      <c r="B21" s="16" t="s">
        <v>17</v>
      </c>
      <c r="C21" s="18"/>
      <c r="D21" s="19"/>
      <c r="E21" s="17"/>
      <c r="F21" s="10">
        <f t="shared" si="1"/>
        <v>0</v>
      </c>
      <c r="G21" s="11"/>
    </row>
    <row r="22" spans="1:7" ht="15.75" customHeight="1" thickBot="1" x14ac:dyDescent="0.3">
      <c r="A22" s="20"/>
      <c r="B22" s="21" t="s">
        <v>18</v>
      </c>
      <c r="C22" s="22"/>
      <c r="D22" s="22"/>
      <c r="E22" s="23"/>
      <c r="F22" s="24">
        <f>SUM(F2:F21)</f>
        <v>0</v>
      </c>
      <c r="G22" s="25"/>
    </row>
    <row r="25" spans="1:7" ht="15.75" customHeight="1" thickBot="1" x14ac:dyDescent="0.3"/>
    <row r="26" spans="1:7" ht="15.75" customHeight="1" thickBot="1" x14ac:dyDescent="0.3">
      <c r="A26" s="26" t="s">
        <v>0</v>
      </c>
      <c r="B26" s="26" t="s">
        <v>1</v>
      </c>
      <c r="C26" s="26" t="s">
        <v>19</v>
      </c>
    </row>
    <row r="27" spans="1:7" x14ac:dyDescent="0.25">
      <c r="A27" s="28">
        <v>1</v>
      </c>
      <c r="B27" s="53" t="s">
        <v>34</v>
      </c>
      <c r="C27" s="30">
        <v>1.041666666666667E-2</v>
      </c>
    </row>
    <row r="28" spans="1:7" x14ac:dyDescent="0.25">
      <c r="A28" s="28">
        <v>2</v>
      </c>
      <c r="B28" s="53" t="s">
        <v>7</v>
      </c>
      <c r="C28" s="30">
        <v>1.041666666666667E-2</v>
      </c>
    </row>
    <row r="29" spans="1:7" x14ac:dyDescent="0.25">
      <c r="A29" s="28">
        <v>3</v>
      </c>
      <c r="B29" s="53" t="s">
        <v>35</v>
      </c>
      <c r="C29" s="30">
        <v>3.472222222222222E-3</v>
      </c>
    </row>
    <row r="30" spans="1:7" x14ac:dyDescent="0.25">
      <c r="A30" s="28">
        <v>4</v>
      </c>
      <c r="B30" s="53" t="s">
        <v>9</v>
      </c>
      <c r="C30" s="30">
        <v>3.472222222222222E-3</v>
      </c>
    </row>
    <row r="31" spans="1:7" x14ac:dyDescent="0.25">
      <c r="A31" s="28">
        <v>5</v>
      </c>
      <c r="B31" s="53" t="s">
        <v>36</v>
      </c>
      <c r="C31" s="30">
        <v>1.041666666666667E-2</v>
      </c>
    </row>
    <row r="32" spans="1:7" x14ac:dyDescent="0.25">
      <c r="A32" s="28">
        <v>6</v>
      </c>
      <c r="B32" s="53" t="s">
        <v>10</v>
      </c>
      <c r="C32" s="30">
        <v>1.041666666666667E-2</v>
      </c>
    </row>
    <row r="33" spans="1:3" x14ac:dyDescent="0.25">
      <c r="A33" s="28">
        <v>7</v>
      </c>
      <c r="B33" s="53" t="s">
        <v>67</v>
      </c>
      <c r="C33" s="30">
        <v>1.388888888888889E-2</v>
      </c>
    </row>
    <row r="34" spans="1:3" x14ac:dyDescent="0.25">
      <c r="A34" s="28">
        <v>8</v>
      </c>
      <c r="B34" s="53" t="s">
        <v>68</v>
      </c>
      <c r="C34" s="30">
        <v>1.388888888888889E-2</v>
      </c>
    </row>
    <row r="35" spans="1:3" x14ac:dyDescent="0.25">
      <c r="A35" s="28">
        <v>9</v>
      </c>
      <c r="B35" s="53" t="s">
        <v>54</v>
      </c>
      <c r="C35" s="30">
        <v>1.7361111111111108E-2</v>
      </c>
    </row>
    <row r="36" spans="1:3" x14ac:dyDescent="0.25">
      <c r="A36" s="28">
        <v>10</v>
      </c>
      <c r="B36" s="53" t="s">
        <v>55</v>
      </c>
      <c r="C36" s="30">
        <v>1.7361111111111108E-2</v>
      </c>
    </row>
    <row r="37" spans="1:3" x14ac:dyDescent="0.25">
      <c r="A37" s="28">
        <v>11</v>
      </c>
      <c r="B37" s="53" t="s">
        <v>37</v>
      </c>
      <c r="C37" s="30">
        <v>3.472222222222222E-3</v>
      </c>
    </row>
    <row r="38" spans="1:3" x14ac:dyDescent="0.25">
      <c r="A38" s="28">
        <v>12</v>
      </c>
      <c r="B38" s="53" t="s">
        <v>38</v>
      </c>
      <c r="C38" s="30">
        <v>3.472222222222222E-3</v>
      </c>
    </row>
    <row r="39" spans="1:3" x14ac:dyDescent="0.25">
      <c r="A39" s="28">
        <v>13</v>
      </c>
      <c r="B39" s="53" t="s">
        <v>56</v>
      </c>
      <c r="C39" s="30">
        <v>1.041666666666667E-2</v>
      </c>
    </row>
    <row r="40" spans="1:3" x14ac:dyDescent="0.25">
      <c r="A40" s="28">
        <v>14</v>
      </c>
      <c r="B40" s="53" t="s">
        <v>57</v>
      </c>
      <c r="C40" s="30">
        <v>1.7361111111111108E-2</v>
      </c>
    </row>
    <row r="41" spans="1:3" x14ac:dyDescent="0.25">
      <c r="A41" s="28">
        <v>15</v>
      </c>
      <c r="B41" s="53" t="s">
        <v>58</v>
      </c>
      <c r="C41" s="30">
        <v>6.9444444444444441E-3</v>
      </c>
    </row>
    <row r="42" spans="1:3" x14ac:dyDescent="0.25">
      <c r="A42" s="28">
        <v>16</v>
      </c>
      <c r="B42" s="53" t="s">
        <v>59</v>
      </c>
      <c r="C42" s="30">
        <v>6.9444444444444441E-3</v>
      </c>
    </row>
    <row r="43" spans="1:3" x14ac:dyDescent="0.25">
      <c r="A43" s="28">
        <v>17</v>
      </c>
      <c r="B43" s="53" t="s">
        <v>39</v>
      </c>
      <c r="C43" s="30">
        <v>1.041666666666667E-2</v>
      </c>
    </row>
    <row r="44" spans="1:3" x14ac:dyDescent="0.25">
      <c r="A44" s="28">
        <v>18</v>
      </c>
      <c r="B44" s="53" t="s">
        <v>27</v>
      </c>
      <c r="C44" s="30">
        <v>1.041666666666667E-2</v>
      </c>
    </row>
    <row r="45" spans="1:3" x14ac:dyDescent="0.25">
      <c r="A45" s="28">
        <v>19</v>
      </c>
      <c r="B45" s="53" t="s">
        <v>60</v>
      </c>
      <c r="C45" s="30">
        <v>1.388888888888889E-2</v>
      </c>
    </row>
    <row r="46" spans="1:3" x14ac:dyDescent="0.25">
      <c r="A46" s="28">
        <v>20</v>
      </c>
      <c r="B46" s="53" t="s">
        <v>28</v>
      </c>
      <c r="C46" s="30">
        <v>1.388888888888889E-2</v>
      </c>
    </row>
    <row r="47" spans="1:3" x14ac:dyDescent="0.25">
      <c r="A47" s="28">
        <v>21</v>
      </c>
      <c r="B47" s="53" t="s">
        <v>69</v>
      </c>
      <c r="C47" s="30">
        <v>1.7361111111111108E-2</v>
      </c>
    </row>
    <row r="48" spans="1:3" x14ac:dyDescent="0.25">
      <c r="A48" s="28">
        <v>22</v>
      </c>
      <c r="B48" s="53" t="s">
        <v>70</v>
      </c>
      <c r="C48" s="30">
        <v>1.7361111111111108E-2</v>
      </c>
    </row>
    <row r="49" spans="1:3" x14ac:dyDescent="0.25">
      <c r="A49" s="28">
        <v>23</v>
      </c>
      <c r="B49" s="53" t="s">
        <v>41</v>
      </c>
      <c r="C49" s="30">
        <v>3.472222222222222E-3</v>
      </c>
    </row>
    <row r="50" spans="1:3" x14ac:dyDescent="0.25">
      <c r="A50" s="28">
        <v>24</v>
      </c>
      <c r="B50" s="53" t="s">
        <v>14</v>
      </c>
      <c r="C50" s="30">
        <v>3.472222222222222E-3</v>
      </c>
    </row>
    <row r="51" spans="1:3" x14ac:dyDescent="0.25">
      <c r="A51" s="28">
        <v>25</v>
      </c>
      <c r="B51" s="53" t="s">
        <v>42</v>
      </c>
      <c r="C51" s="30">
        <v>2.0833333333333329E-2</v>
      </c>
    </row>
    <row r="52" spans="1:3" x14ac:dyDescent="0.25">
      <c r="A52" s="28">
        <v>26</v>
      </c>
      <c r="B52" s="53" t="s">
        <v>15</v>
      </c>
      <c r="C52" s="30">
        <v>2.0833333333333329E-2</v>
      </c>
    </row>
    <row r="53" spans="1:3" x14ac:dyDescent="0.25">
      <c r="A53" s="28">
        <v>27</v>
      </c>
      <c r="B53" s="53" t="s">
        <v>71</v>
      </c>
      <c r="C53" s="30">
        <v>6.9444444444444441E-3</v>
      </c>
    </row>
    <row r="54" spans="1:3" x14ac:dyDescent="0.25">
      <c r="A54" s="28">
        <v>28</v>
      </c>
      <c r="B54" s="53" t="s">
        <v>72</v>
      </c>
      <c r="C54" s="30">
        <v>6.9444444444444441E-3</v>
      </c>
    </row>
    <row r="55" spans="1:3" x14ac:dyDescent="0.25">
      <c r="A55" s="28">
        <v>29</v>
      </c>
      <c r="B55" s="53" t="s">
        <v>73</v>
      </c>
      <c r="C55" s="30">
        <v>1.041666666666667E-2</v>
      </c>
    </row>
    <row r="57" spans="1:3" x14ac:dyDescent="0.25">
      <c r="C57" s="32">
        <f>SUM(C27:C55)</f>
        <v>0.31597222222222215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C44"/>
  <sheetViews>
    <sheetView topLeftCell="A21" workbookViewId="0">
      <selection activeCell="C45" sqref="C35:D45"/>
    </sheetView>
  </sheetViews>
  <sheetFormatPr defaultRowHeight="15" x14ac:dyDescent="0.25"/>
  <cols>
    <col min="1" max="1" width="41.7109375" bestFit="1" customWidth="1"/>
    <col min="2" max="2" width="12" customWidth="1"/>
    <col min="3" max="3" width="13.28515625" bestFit="1" customWidth="1"/>
  </cols>
  <sheetData>
    <row r="2" spans="1:3" x14ac:dyDescent="0.25">
      <c r="A2" t="s">
        <v>74</v>
      </c>
    </row>
    <row r="4" spans="1:3" x14ac:dyDescent="0.25">
      <c r="A4" s="46" t="s">
        <v>75</v>
      </c>
      <c r="B4" s="46" t="s">
        <v>76</v>
      </c>
    </row>
    <row r="5" spans="1:3" x14ac:dyDescent="0.25">
      <c r="A5" s="47" t="s">
        <v>77</v>
      </c>
      <c r="B5" s="48" t="s">
        <v>78</v>
      </c>
      <c r="C5" t="s">
        <v>79</v>
      </c>
    </row>
    <row r="6" spans="1:3" x14ac:dyDescent="0.25">
      <c r="A6" s="47" t="s">
        <v>80</v>
      </c>
      <c r="B6" s="48" t="s">
        <v>78</v>
      </c>
      <c r="C6" t="s">
        <v>79</v>
      </c>
    </row>
    <row r="7" spans="1:3" x14ac:dyDescent="0.25">
      <c r="A7" s="47" t="s">
        <v>81</v>
      </c>
      <c r="B7" s="48" t="s">
        <v>78</v>
      </c>
      <c r="C7" t="s">
        <v>79</v>
      </c>
    </row>
    <row r="8" spans="1:3" x14ac:dyDescent="0.25">
      <c r="A8" s="47" t="s">
        <v>82</v>
      </c>
      <c r="B8" s="48" t="s">
        <v>78</v>
      </c>
      <c r="C8" t="s">
        <v>79</v>
      </c>
    </row>
    <row r="9" spans="1:3" x14ac:dyDescent="0.25">
      <c r="A9" s="47" t="s">
        <v>83</v>
      </c>
      <c r="B9" s="48" t="s">
        <v>78</v>
      </c>
      <c r="C9" t="s">
        <v>84</v>
      </c>
    </row>
    <row r="10" spans="1:3" x14ac:dyDescent="0.25">
      <c r="A10" s="47" t="s">
        <v>85</v>
      </c>
      <c r="B10" s="48" t="s">
        <v>78</v>
      </c>
      <c r="C10" t="s">
        <v>84</v>
      </c>
    </row>
    <row r="11" spans="1:3" x14ac:dyDescent="0.25">
      <c r="A11" s="47" t="s">
        <v>86</v>
      </c>
      <c r="B11" s="48" t="s">
        <v>78</v>
      </c>
      <c r="C11" t="s">
        <v>84</v>
      </c>
    </row>
    <row r="12" spans="1:3" x14ac:dyDescent="0.25">
      <c r="A12" s="47" t="s">
        <v>87</v>
      </c>
      <c r="B12" s="48" t="s">
        <v>78</v>
      </c>
      <c r="C12" t="s">
        <v>84</v>
      </c>
    </row>
    <row r="13" spans="1:3" x14ac:dyDescent="0.25">
      <c r="A13" s="47" t="s">
        <v>88</v>
      </c>
      <c r="B13" s="48" t="s">
        <v>78</v>
      </c>
      <c r="C13" t="s">
        <v>84</v>
      </c>
    </row>
    <row r="15" spans="1:3" x14ac:dyDescent="0.25">
      <c r="A15" t="s">
        <v>89</v>
      </c>
    </row>
    <row r="17" spans="1:2" x14ac:dyDescent="0.25">
      <c r="A17" s="49" t="s">
        <v>75</v>
      </c>
      <c r="B17" s="49" t="s">
        <v>76</v>
      </c>
    </row>
    <row r="18" spans="1:2" x14ac:dyDescent="0.25">
      <c r="A18" s="47" t="s">
        <v>90</v>
      </c>
      <c r="B18" s="48" t="s">
        <v>91</v>
      </c>
    </row>
    <row r="19" spans="1:2" x14ac:dyDescent="0.25">
      <c r="A19" s="47" t="s">
        <v>77</v>
      </c>
      <c r="B19" s="48" t="s">
        <v>91</v>
      </c>
    </row>
    <row r="20" spans="1:2" x14ac:dyDescent="0.25">
      <c r="A20" s="47" t="s">
        <v>80</v>
      </c>
      <c r="B20" s="48" t="s">
        <v>91</v>
      </c>
    </row>
    <row r="21" spans="1:2" x14ac:dyDescent="0.25">
      <c r="A21" s="47" t="s">
        <v>81</v>
      </c>
      <c r="B21" s="48" t="s">
        <v>91</v>
      </c>
    </row>
    <row r="22" spans="1:2" x14ac:dyDescent="0.25">
      <c r="A22" s="47" t="s">
        <v>82</v>
      </c>
      <c r="B22" s="48" t="s">
        <v>91</v>
      </c>
    </row>
    <row r="29" spans="1:2" ht="16.5" customHeight="1" x14ac:dyDescent="0.3">
      <c r="A29" s="50" t="s">
        <v>92</v>
      </c>
    </row>
    <row r="30" spans="1:2" ht="16.5" customHeight="1" x14ac:dyDescent="0.3">
      <c r="A30" s="50" t="s">
        <v>92</v>
      </c>
    </row>
    <row r="31" spans="1:2" ht="16.5" customHeight="1" x14ac:dyDescent="0.3">
      <c r="A31" s="50" t="s">
        <v>92</v>
      </c>
    </row>
    <row r="32" spans="1:2" ht="16.5" customHeight="1" x14ac:dyDescent="0.3">
      <c r="A32" s="50" t="s">
        <v>92</v>
      </c>
    </row>
    <row r="33" spans="1:1" ht="16.5" customHeight="1" x14ac:dyDescent="0.3">
      <c r="A33" s="50" t="s">
        <v>92</v>
      </c>
    </row>
    <row r="35" spans="1:1" ht="16.5" customHeight="1" x14ac:dyDescent="0.3">
      <c r="A35" s="50" t="s">
        <v>93</v>
      </c>
    </row>
    <row r="36" spans="1:1" x14ac:dyDescent="0.25">
      <c r="A36" t="s">
        <v>94</v>
      </c>
    </row>
    <row r="37" spans="1:1" x14ac:dyDescent="0.25">
      <c r="A37" t="s">
        <v>95</v>
      </c>
    </row>
    <row r="38" spans="1:1" x14ac:dyDescent="0.25">
      <c r="A38" t="s">
        <v>95</v>
      </c>
    </row>
    <row r="39" spans="1:1" x14ac:dyDescent="0.25">
      <c r="A39" t="s">
        <v>96</v>
      </c>
    </row>
    <row r="40" spans="1:1" x14ac:dyDescent="0.25">
      <c r="A40" t="s">
        <v>97</v>
      </c>
    </row>
    <row r="41" spans="1:1" x14ac:dyDescent="0.25">
      <c r="A41" t="s">
        <v>98</v>
      </c>
    </row>
    <row r="42" spans="1:1" x14ac:dyDescent="0.25">
      <c r="A42" t="s">
        <v>99</v>
      </c>
    </row>
    <row r="43" spans="1:1" x14ac:dyDescent="0.25">
      <c r="A43" t="s">
        <v>100</v>
      </c>
    </row>
    <row r="44" spans="1:1" x14ac:dyDescent="0.25">
      <c r="A44" t="s">
        <v>101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"/>
  <dimension ref="A3:N90"/>
  <sheetViews>
    <sheetView topLeftCell="A70" workbookViewId="0">
      <selection activeCell="E81" sqref="A81:E82"/>
    </sheetView>
  </sheetViews>
  <sheetFormatPr defaultRowHeight="15" x14ac:dyDescent="0.25"/>
  <cols>
    <col min="1" max="1" width="31.140625" customWidth="1"/>
  </cols>
  <sheetData>
    <row r="3" spans="1:3" x14ac:dyDescent="0.25">
      <c r="A3" s="89" t="s">
        <v>102</v>
      </c>
      <c r="B3" s="90"/>
      <c r="C3" s="90"/>
    </row>
    <row r="4" spans="1:3" x14ac:dyDescent="0.25">
      <c r="A4" s="89" t="s">
        <v>103</v>
      </c>
      <c r="B4" s="90"/>
      <c r="C4" s="90"/>
    </row>
    <row r="5" spans="1:3" x14ac:dyDescent="0.25">
      <c r="A5" s="89" t="s">
        <v>104</v>
      </c>
      <c r="B5" s="90"/>
      <c r="C5" s="90"/>
    </row>
    <row r="6" spans="1:3" x14ac:dyDescent="0.25">
      <c r="A6" s="37" t="s">
        <v>105</v>
      </c>
      <c r="B6" s="37" t="s">
        <v>106</v>
      </c>
      <c r="C6" s="37" t="s">
        <v>107</v>
      </c>
    </row>
    <row r="7" spans="1:3" ht="43.15" customHeight="1" x14ac:dyDescent="0.25">
      <c r="A7" s="38" t="s">
        <v>108</v>
      </c>
      <c r="B7" s="39" t="s">
        <v>109</v>
      </c>
      <c r="C7" s="39" t="s">
        <v>109</v>
      </c>
    </row>
    <row r="8" spans="1:3" ht="28.9" customHeight="1" x14ac:dyDescent="0.25">
      <c r="A8" s="38" t="s">
        <v>110</v>
      </c>
      <c r="B8" s="39" t="s">
        <v>111</v>
      </c>
      <c r="C8" s="39" t="s">
        <v>111</v>
      </c>
    </row>
    <row r="9" spans="1:3" ht="28.9" customHeight="1" x14ac:dyDescent="0.25">
      <c r="A9" s="38" t="s">
        <v>112</v>
      </c>
      <c r="B9" s="40">
        <v>38</v>
      </c>
      <c r="C9" s="39">
        <v>38</v>
      </c>
    </row>
    <row r="10" spans="1:3" ht="28.9" customHeight="1" x14ac:dyDescent="0.25">
      <c r="A10" s="38" t="s">
        <v>113</v>
      </c>
      <c r="B10" s="41" t="s">
        <v>114</v>
      </c>
      <c r="C10" s="41" t="s">
        <v>115</v>
      </c>
    </row>
    <row r="11" spans="1:3" x14ac:dyDescent="0.25">
      <c r="A11" s="90"/>
      <c r="B11" s="90"/>
      <c r="C11" s="90"/>
    </row>
    <row r="12" spans="1:3" x14ac:dyDescent="0.25">
      <c r="A12" s="90"/>
      <c r="B12" s="90"/>
      <c r="C12" s="90"/>
    </row>
    <row r="13" spans="1:3" x14ac:dyDescent="0.25">
      <c r="A13" s="89" t="s">
        <v>116</v>
      </c>
      <c r="B13" s="90"/>
      <c r="C13" s="90"/>
    </row>
    <row r="14" spans="1:3" x14ac:dyDescent="0.25">
      <c r="A14" s="90" t="s">
        <v>117</v>
      </c>
      <c r="B14" s="90"/>
      <c r="C14" s="90"/>
    </row>
    <row r="15" spans="1:3" x14ac:dyDescent="0.25">
      <c r="A15" s="90"/>
      <c r="B15" s="90"/>
      <c r="C15" s="90"/>
    </row>
    <row r="22" spans="1:2" x14ac:dyDescent="0.25">
      <c r="A22" t="s">
        <v>118</v>
      </c>
      <c r="B22" t="s">
        <v>119</v>
      </c>
    </row>
    <row r="23" spans="1:2" x14ac:dyDescent="0.25">
      <c r="A23" t="s">
        <v>120</v>
      </c>
      <c r="B23" t="s">
        <v>121</v>
      </c>
    </row>
    <row r="24" spans="1:2" x14ac:dyDescent="0.25">
      <c r="A24" t="s">
        <v>122</v>
      </c>
      <c r="B24" t="s">
        <v>121</v>
      </c>
    </row>
    <row r="25" spans="1:2" x14ac:dyDescent="0.25">
      <c r="A25" t="s">
        <v>123</v>
      </c>
      <c r="B25" t="s">
        <v>121</v>
      </c>
    </row>
    <row r="26" spans="1:2" x14ac:dyDescent="0.25">
      <c r="A26" t="s">
        <v>124</v>
      </c>
      <c r="B26" t="s">
        <v>121</v>
      </c>
    </row>
    <row r="27" spans="1:2" x14ac:dyDescent="0.25">
      <c r="A27" t="s">
        <v>125</v>
      </c>
      <c r="B27" t="s">
        <v>121</v>
      </c>
    </row>
    <row r="28" spans="1:2" x14ac:dyDescent="0.25">
      <c r="A28" t="s">
        <v>126</v>
      </c>
      <c r="B28" t="s">
        <v>127</v>
      </c>
    </row>
    <row r="49" spans="1:11" x14ac:dyDescent="0.25">
      <c r="A49" t="s">
        <v>128</v>
      </c>
      <c r="B49" s="61" t="s">
        <v>129</v>
      </c>
      <c r="C49" t="s">
        <v>128</v>
      </c>
      <c r="D49" s="61" t="s">
        <v>130</v>
      </c>
      <c r="E49" t="s">
        <v>128</v>
      </c>
      <c r="F49" s="61" t="s">
        <v>131</v>
      </c>
      <c r="G49" t="s">
        <v>128</v>
      </c>
      <c r="H49" s="61" t="s">
        <v>132</v>
      </c>
      <c r="I49" t="s">
        <v>128</v>
      </c>
      <c r="J49" s="61" t="s">
        <v>133</v>
      </c>
      <c r="K49" t="s">
        <v>128</v>
      </c>
    </row>
    <row r="50" spans="1:11" x14ac:dyDescent="0.25">
      <c r="A50" t="s">
        <v>128</v>
      </c>
      <c r="B50" s="61" t="s">
        <v>134</v>
      </c>
      <c r="C50" t="s">
        <v>128</v>
      </c>
      <c r="D50" s="71" t="s">
        <v>135</v>
      </c>
      <c r="E50" t="s">
        <v>128</v>
      </c>
      <c r="F50" s="71" t="s">
        <v>136</v>
      </c>
      <c r="G50" t="s">
        <v>128</v>
      </c>
      <c r="H50" s="71" t="s">
        <v>137</v>
      </c>
      <c r="I50" t="s">
        <v>128</v>
      </c>
      <c r="J50" s="61" t="s">
        <v>138</v>
      </c>
      <c r="K50" t="s">
        <v>128</v>
      </c>
    </row>
    <row r="58" spans="1:11" x14ac:dyDescent="0.25">
      <c r="B58" s="61" t="s">
        <v>129</v>
      </c>
      <c r="C58" s="61" t="s">
        <v>130</v>
      </c>
      <c r="D58" s="61" t="s">
        <v>131</v>
      </c>
      <c r="E58" s="61" t="s">
        <v>132</v>
      </c>
      <c r="F58" s="61" t="s">
        <v>133</v>
      </c>
    </row>
    <row r="59" spans="1:11" x14ac:dyDescent="0.25">
      <c r="B59" s="61" t="s">
        <v>134</v>
      </c>
      <c r="C59" s="71" t="s">
        <v>135</v>
      </c>
      <c r="D59" s="71" t="s">
        <v>136</v>
      </c>
      <c r="E59" s="61" t="s">
        <v>139</v>
      </c>
      <c r="F59" s="61" t="s">
        <v>138</v>
      </c>
    </row>
    <row r="63" spans="1:11" x14ac:dyDescent="0.25">
      <c r="B63" s="61" t="s">
        <v>129</v>
      </c>
      <c r="C63" s="61" t="s">
        <v>140</v>
      </c>
    </row>
    <row r="64" spans="1:11" x14ac:dyDescent="0.25">
      <c r="B64" s="61" t="s">
        <v>141</v>
      </c>
      <c r="C64" s="72" t="s">
        <v>142</v>
      </c>
    </row>
    <row r="71" spans="1:11" x14ac:dyDescent="0.25">
      <c r="A71" t="s">
        <v>128</v>
      </c>
      <c r="B71" s="61" t="s">
        <v>129</v>
      </c>
      <c r="C71" t="s">
        <v>128</v>
      </c>
      <c r="D71" s="61" t="s">
        <v>76</v>
      </c>
      <c r="E71" t="s">
        <v>128</v>
      </c>
    </row>
    <row r="72" spans="1:11" x14ac:dyDescent="0.25">
      <c r="A72" t="s">
        <v>128</v>
      </c>
      <c r="B72" s="61" t="s">
        <v>141</v>
      </c>
      <c r="C72" t="s">
        <v>128</v>
      </c>
      <c r="D72" s="61" t="s">
        <v>78</v>
      </c>
      <c r="E72" t="s">
        <v>128</v>
      </c>
    </row>
    <row r="76" spans="1:11" x14ac:dyDescent="0.25">
      <c r="A76" t="s">
        <v>128</v>
      </c>
      <c r="B76" s="61" t="s">
        <v>129</v>
      </c>
      <c r="C76" t="s">
        <v>128</v>
      </c>
      <c r="D76" s="61" t="s">
        <v>130</v>
      </c>
      <c r="E76" t="s">
        <v>128</v>
      </c>
      <c r="F76" s="61" t="s">
        <v>143</v>
      </c>
      <c r="G76" t="s">
        <v>128</v>
      </c>
      <c r="H76" s="61" t="s">
        <v>144</v>
      </c>
      <c r="I76" t="s">
        <v>128</v>
      </c>
      <c r="J76" s="61" t="s">
        <v>145</v>
      </c>
      <c r="K76" t="s">
        <v>128</v>
      </c>
    </row>
    <row r="77" spans="1:11" x14ac:dyDescent="0.25">
      <c r="A77" t="s">
        <v>128</v>
      </c>
      <c r="B77" s="61" t="s">
        <v>146</v>
      </c>
      <c r="C77" t="s">
        <v>128</v>
      </c>
      <c r="D77" s="61" t="s">
        <v>147</v>
      </c>
      <c r="E77" t="s">
        <v>128</v>
      </c>
      <c r="F77" s="61" t="s">
        <v>148</v>
      </c>
      <c r="G77" t="s">
        <v>128</v>
      </c>
      <c r="H77" s="61" t="s">
        <v>149</v>
      </c>
      <c r="I77" t="s">
        <v>128</v>
      </c>
      <c r="J77" s="61" t="s">
        <v>150</v>
      </c>
      <c r="K77" t="s">
        <v>128</v>
      </c>
    </row>
    <row r="81" spans="1:14" x14ac:dyDescent="0.25">
      <c r="A81" t="s">
        <v>128</v>
      </c>
      <c r="B81" t="s">
        <v>129</v>
      </c>
      <c r="C81" t="s">
        <v>128</v>
      </c>
      <c r="D81" t="s">
        <v>151</v>
      </c>
      <c r="E81" t="s">
        <v>128</v>
      </c>
    </row>
    <row r="82" spans="1:14" x14ac:dyDescent="0.25">
      <c r="A82" t="s">
        <v>128</v>
      </c>
      <c r="B82" t="s">
        <v>152</v>
      </c>
      <c r="C82" t="s">
        <v>128</v>
      </c>
      <c r="D82" t="s">
        <v>78</v>
      </c>
      <c r="E82" t="s">
        <v>128</v>
      </c>
    </row>
    <row r="85" spans="1:14" x14ac:dyDescent="0.25">
      <c r="A85" t="s">
        <v>128</v>
      </c>
      <c r="B85" t="s">
        <v>129</v>
      </c>
      <c r="C85" t="s">
        <v>128</v>
      </c>
      <c r="D85" t="s">
        <v>151</v>
      </c>
      <c r="E85" t="s">
        <v>128</v>
      </c>
    </row>
    <row r="86" spans="1:14" x14ac:dyDescent="0.25">
      <c r="A86" t="s">
        <v>128</v>
      </c>
      <c r="B86" t="s">
        <v>153</v>
      </c>
      <c r="C86" t="s">
        <v>128</v>
      </c>
      <c r="D86" t="s">
        <v>78</v>
      </c>
      <c r="E86" t="s">
        <v>128</v>
      </c>
    </row>
    <row r="87" spans="1:14" x14ac:dyDescent="0.25">
      <c r="N87" t="s">
        <v>154</v>
      </c>
    </row>
    <row r="89" spans="1:14" x14ac:dyDescent="0.25">
      <c r="A89" t="s">
        <v>128</v>
      </c>
      <c r="B89" t="s">
        <v>129</v>
      </c>
      <c r="C89" t="s">
        <v>128</v>
      </c>
      <c r="D89" t="s">
        <v>151</v>
      </c>
      <c r="E89" t="s">
        <v>128</v>
      </c>
    </row>
    <row r="90" spans="1:14" x14ac:dyDescent="0.25">
      <c r="A90" t="s">
        <v>128</v>
      </c>
      <c r="B90" t="s">
        <v>155</v>
      </c>
      <c r="C90" t="s">
        <v>128</v>
      </c>
      <c r="D90" t="s">
        <v>78</v>
      </c>
      <c r="E90" t="s">
        <v>128</v>
      </c>
    </row>
  </sheetData>
  <mergeCells count="8">
    <mergeCell ref="A15:C15"/>
    <mergeCell ref="A13:C13"/>
    <mergeCell ref="A11:C11"/>
    <mergeCell ref="A5:C5"/>
    <mergeCell ref="A14:C14"/>
    <mergeCell ref="A3:C3"/>
    <mergeCell ref="A12:C12"/>
    <mergeCell ref="A4:C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42"/>
  <sheetViews>
    <sheetView topLeftCell="A31" workbookViewId="0">
      <selection activeCell="A40" sqref="A40:A42"/>
    </sheetView>
  </sheetViews>
  <sheetFormatPr defaultColWidth="29.140625" defaultRowHeight="15" x14ac:dyDescent="0.25"/>
  <cols>
    <col min="1" max="2" width="44.28515625" bestFit="1" customWidth="1"/>
    <col min="3" max="3" width="42.140625" bestFit="1" customWidth="1"/>
    <col min="7" max="7" width="29.140625" customWidth="1"/>
    <col min="8" max="8" width="15.28515625" bestFit="1" customWidth="1"/>
    <col min="9" max="9" width="4.7109375" style="58" bestFit="1" customWidth="1"/>
    <col min="10" max="12" width="4.28515625" bestFit="1" customWidth="1"/>
    <col min="14" max="14" width="3" bestFit="1" customWidth="1"/>
    <col min="15" max="15" width="6.28515625" bestFit="1" customWidth="1"/>
  </cols>
  <sheetData>
    <row r="1" spans="1:13" ht="16.899999999999999" customHeight="1" x14ac:dyDescent="0.25">
      <c r="A1" s="63" t="s">
        <v>156</v>
      </c>
      <c r="B1" s="63" t="s">
        <v>157</v>
      </c>
      <c r="C1" t="s">
        <v>158</v>
      </c>
      <c r="H1" s="63"/>
      <c r="J1" s="59"/>
      <c r="K1" s="60"/>
      <c r="M1" s="58"/>
    </row>
    <row r="2" spans="1:13" ht="16.899999999999999" customHeight="1" x14ac:dyDescent="0.25">
      <c r="A2" s="63" t="s">
        <v>159</v>
      </c>
      <c r="B2" s="63" t="s">
        <v>160</v>
      </c>
      <c r="C2" t="s">
        <v>161</v>
      </c>
      <c r="H2" s="63"/>
      <c r="J2" s="59"/>
      <c r="K2" s="60"/>
      <c r="M2" s="58"/>
    </row>
    <row r="3" spans="1:13" ht="16.899999999999999" customHeight="1" x14ac:dyDescent="0.25">
      <c r="A3" s="63" t="s">
        <v>162</v>
      </c>
      <c r="B3" s="63" t="s">
        <v>163</v>
      </c>
      <c r="C3" t="s">
        <v>164</v>
      </c>
      <c r="H3" s="63"/>
      <c r="J3" s="59"/>
      <c r="K3" s="60"/>
      <c r="M3" s="58"/>
    </row>
    <row r="4" spans="1:13" ht="16.899999999999999" customHeight="1" x14ac:dyDescent="0.25">
      <c r="A4" s="63" t="s">
        <v>165</v>
      </c>
      <c r="B4" s="63" t="s">
        <v>166</v>
      </c>
      <c r="C4" t="s">
        <v>167</v>
      </c>
      <c r="H4" s="63"/>
      <c r="J4" s="59"/>
      <c r="K4" s="60"/>
      <c r="M4" s="58"/>
    </row>
    <row r="5" spans="1:13" ht="16.899999999999999" customHeight="1" x14ac:dyDescent="0.25">
      <c r="A5" s="63" t="s">
        <v>168</v>
      </c>
      <c r="B5" s="63" t="s">
        <v>169</v>
      </c>
      <c r="C5" t="s">
        <v>170</v>
      </c>
      <c r="H5" s="63"/>
      <c r="J5" s="59"/>
      <c r="K5" s="60"/>
      <c r="M5" s="58"/>
    </row>
    <row r="6" spans="1:13" ht="16.899999999999999" customHeight="1" x14ac:dyDescent="0.25">
      <c r="A6" s="63" t="s">
        <v>171</v>
      </c>
      <c r="B6" s="63" t="s">
        <v>172</v>
      </c>
      <c r="C6" t="s">
        <v>173</v>
      </c>
      <c r="H6" s="63"/>
      <c r="J6" s="59"/>
      <c r="K6" s="61"/>
      <c r="M6" s="58"/>
    </row>
    <row r="7" spans="1:13" ht="16.899999999999999" customHeight="1" x14ac:dyDescent="0.25">
      <c r="A7" s="63" t="s">
        <v>174</v>
      </c>
      <c r="B7" s="63" t="s">
        <v>175</v>
      </c>
      <c r="C7" t="s">
        <v>176</v>
      </c>
      <c r="H7" s="63"/>
      <c r="J7" s="59"/>
      <c r="K7" s="62"/>
      <c r="M7" s="58"/>
    </row>
    <row r="9" spans="1:13" ht="16.899999999999999" customHeight="1" x14ac:dyDescent="0.25">
      <c r="A9" s="57"/>
    </row>
    <row r="13" spans="1:13" x14ac:dyDescent="0.25">
      <c r="A13" s="56" t="s">
        <v>177</v>
      </c>
      <c r="B13" t="s">
        <v>158</v>
      </c>
    </row>
    <row r="14" spans="1:13" x14ac:dyDescent="0.25">
      <c r="A14" s="55" t="s">
        <v>177</v>
      </c>
      <c r="B14" t="s">
        <v>161</v>
      </c>
    </row>
    <row r="15" spans="1:13" x14ac:dyDescent="0.25">
      <c r="A15" s="55" t="s">
        <v>177</v>
      </c>
      <c r="B15" t="s">
        <v>164</v>
      </c>
    </row>
    <row r="16" spans="1:13" x14ac:dyDescent="0.25">
      <c r="A16" s="55" t="s">
        <v>177</v>
      </c>
      <c r="B16" t="s">
        <v>167</v>
      </c>
    </row>
    <row r="17" spans="1:8" x14ac:dyDescent="0.25">
      <c r="A17" s="55" t="s">
        <v>177</v>
      </c>
      <c r="B17" t="s">
        <v>170</v>
      </c>
    </row>
    <row r="18" spans="1:8" x14ac:dyDescent="0.25">
      <c r="A18" s="55" t="s">
        <v>177</v>
      </c>
      <c r="B18" t="s">
        <v>173</v>
      </c>
    </row>
    <row r="19" spans="1:8" x14ac:dyDescent="0.25">
      <c r="A19" s="55" t="s">
        <v>177</v>
      </c>
      <c r="B19" t="s">
        <v>176</v>
      </c>
    </row>
    <row r="21" spans="1:8" ht="16.899999999999999" customHeight="1" x14ac:dyDescent="0.25">
      <c r="A21" t="s">
        <v>178</v>
      </c>
      <c r="B21" s="63" t="s">
        <v>157</v>
      </c>
      <c r="C21" t="s">
        <v>158</v>
      </c>
      <c r="H21" s="63"/>
    </row>
    <row r="22" spans="1:8" ht="16.899999999999999" customHeight="1" x14ac:dyDescent="0.25">
      <c r="A22" t="s">
        <v>178</v>
      </c>
      <c r="B22" s="63" t="s">
        <v>160</v>
      </c>
      <c r="C22" t="s">
        <v>161</v>
      </c>
      <c r="H22" s="63"/>
    </row>
    <row r="23" spans="1:8" ht="16.899999999999999" customHeight="1" x14ac:dyDescent="0.25">
      <c r="A23" t="s">
        <v>178</v>
      </c>
      <c r="B23" s="63" t="s">
        <v>163</v>
      </c>
      <c r="C23" t="s">
        <v>164</v>
      </c>
      <c r="H23" s="63"/>
    </row>
    <row r="24" spans="1:8" ht="16.899999999999999" customHeight="1" x14ac:dyDescent="0.25">
      <c r="A24" t="s">
        <v>178</v>
      </c>
      <c r="B24" s="63" t="s">
        <v>166</v>
      </c>
      <c r="C24" t="s">
        <v>167</v>
      </c>
      <c r="H24" s="63"/>
    </row>
    <row r="25" spans="1:8" ht="16.899999999999999" customHeight="1" x14ac:dyDescent="0.25">
      <c r="A25" t="s">
        <v>178</v>
      </c>
      <c r="B25" s="63" t="s">
        <v>169</v>
      </c>
      <c r="C25" t="s">
        <v>170</v>
      </c>
      <c r="H25" s="63"/>
    </row>
    <row r="26" spans="1:8" ht="16.899999999999999" customHeight="1" x14ac:dyDescent="0.25">
      <c r="A26" t="s">
        <v>178</v>
      </c>
      <c r="B26" s="63" t="s">
        <v>172</v>
      </c>
      <c r="C26" t="s">
        <v>173</v>
      </c>
      <c r="H26" s="63"/>
    </row>
    <row r="27" spans="1:8" ht="16.899999999999999" customHeight="1" x14ac:dyDescent="0.25">
      <c r="A27" t="s">
        <v>178</v>
      </c>
      <c r="B27" s="63" t="s">
        <v>175</v>
      </c>
      <c r="C27" t="s">
        <v>176</v>
      </c>
      <c r="H27" s="63"/>
    </row>
    <row r="30" spans="1:8" x14ac:dyDescent="0.25">
      <c r="A30" t="s">
        <v>178</v>
      </c>
      <c r="B30" t="s">
        <v>179</v>
      </c>
      <c r="C30" s="61" t="s">
        <v>90</v>
      </c>
    </row>
    <row r="31" spans="1:8" x14ac:dyDescent="0.25">
      <c r="A31" t="s">
        <v>178</v>
      </c>
      <c r="B31" t="s">
        <v>180</v>
      </c>
      <c r="C31" s="64" t="s">
        <v>181</v>
      </c>
    </row>
    <row r="37" spans="1:2" x14ac:dyDescent="0.25">
      <c r="A37" s="66" t="s">
        <v>182</v>
      </c>
      <c r="B37" s="65"/>
    </row>
    <row r="38" spans="1:2" ht="20.45" customHeight="1" x14ac:dyDescent="0.4">
      <c r="A38" s="68" t="s">
        <v>183</v>
      </c>
      <c r="B38" s="67"/>
    </row>
    <row r="40" spans="1:2" x14ac:dyDescent="0.25">
      <c r="A40" t="s">
        <v>184</v>
      </c>
    </row>
    <row r="41" spans="1:2" x14ac:dyDescent="0.25">
      <c r="A41" s="59" t="s">
        <v>173</v>
      </c>
    </row>
    <row r="42" spans="1:2" x14ac:dyDescent="0.25">
      <c r="A42" s="59" t="s">
        <v>158</v>
      </c>
    </row>
  </sheetData>
  <conditionalFormatting sqref="A41:A42">
    <cfRule type="duplicateValues" dxfId="26" priority="1"/>
    <cfRule type="duplicateValues" dxfId="25" priority="2"/>
  </conditionalFormatting>
  <conditionalFormatting sqref="C30:C31">
    <cfRule type="duplicateValues" dxfId="24" priority="3"/>
    <cfRule type="duplicateValues" dxfId="23" priority="4"/>
    <cfRule type="duplicateValues" dxfId="22" priority="5"/>
    <cfRule type="duplicateValues" dxfId="21" priority="6"/>
  </conditionalFormatting>
  <conditionalFormatting sqref="J1:J7">
    <cfRule type="duplicateValues" dxfId="20" priority="11"/>
    <cfRule type="duplicateValues" dxfId="19" priority="12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43"/>
  <sheetViews>
    <sheetView workbookViewId="0"/>
  </sheetViews>
  <sheetFormatPr defaultRowHeight="15" x14ac:dyDescent="0.25"/>
  <cols>
    <col min="1" max="1" width="6.7109375" bestFit="1" customWidth="1"/>
    <col min="2" max="2" width="56.7109375" customWidth="1"/>
    <col min="3" max="3" width="9.5703125" bestFit="1" customWidth="1"/>
    <col min="4" max="4" width="8.7109375" bestFit="1" customWidth="1"/>
    <col min="5" max="5" width="12.42578125" bestFit="1" customWidth="1"/>
    <col min="6" max="6" width="10.85546875" bestFit="1" customWidth="1"/>
    <col min="7" max="7" width="6.7109375" bestFit="1" customWidth="1"/>
  </cols>
  <sheetData>
    <row r="1" spans="1:9" ht="15.75" customHeight="1" thickBot="1" x14ac:dyDescent="0.3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2" t="s">
        <v>6</v>
      </c>
    </row>
    <row r="2" spans="1:9" x14ac:dyDescent="0.25">
      <c r="A2" s="6">
        <f t="shared" ref="A2:A21" si="0">ROW() - ROW($A$1)</f>
        <v>1</v>
      </c>
      <c r="B2" s="7" t="s">
        <v>7</v>
      </c>
      <c r="C2" s="8"/>
      <c r="D2" s="9"/>
      <c r="E2" s="9">
        <v>1.388888888888889E-2</v>
      </c>
      <c r="F2" s="10">
        <f t="shared" ref="F2:F21" si="1">D2-C2</f>
        <v>0</v>
      </c>
      <c r="G2" s="11"/>
      <c r="I2" s="12" t="s">
        <v>8</v>
      </c>
    </row>
    <row r="3" spans="1:9" x14ac:dyDescent="0.25">
      <c r="A3" s="6">
        <f t="shared" si="0"/>
        <v>2</v>
      </c>
      <c r="B3" s="13" t="s">
        <v>9</v>
      </c>
      <c r="C3" s="14"/>
      <c r="D3" s="10"/>
      <c r="E3" s="10">
        <v>1.7361111111111108E-2</v>
      </c>
      <c r="F3" s="10">
        <f t="shared" si="1"/>
        <v>0</v>
      </c>
      <c r="G3" s="11"/>
    </row>
    <row r="4" spans="1:9" x14ac:dyDescent="0.25">
      <c r="A4" s="6">
        <f t="shared" si="0"/>
        <v>3</v>
      </c>
      <c r="B4" s="15" t="s">
        <v>10</v>
      </c>
      <c r="C4" s="14"/>
      <c r="D4" s="10"/>
      <c r="E4" s="10">
        <v>6.9444444444444441E-3</v>
      </c>
      <c r="F4" s="10">
        <f t="shared" si="1"/>
        <v>0</v>
      </c>
      <c r="G4" s="11"/>
    </row>
    <row r="5" spans="1:9" x14ac:dyDescent="0.25">
      <c r="A5" s="6">
        <f t="shared" si="0"/>
        <v>4</v>
      </c>
      <c r="B5" s="13" t="s">
        <v>11</v>
      </c>
      <c r="C5" s="14"/>
      <c r="D5" s="10"/>
      <c r="E5" s="10">
        <v>4.1666666666666657E-2</v>
      </c>
      <c r="F5" s="10">
        <f t="shared" si="1"/>
        <v>0</v>
      </c>
      <c r="G5" s="11"/>
    </row>
    <row r="6" spans="1:9" x14ac:dyDescent="0.25">
      <c r="A6" s="6">
        <f t="shared" si="0"/>
        <v>5</v>
      </c>
      <c r="B6" s="16" t="s">
        <v>12</v>
      </c>
      <c r="C6" s="14"/>
      <c r="D6" s="10"/>
      <c r="E6" s="10"/>
      <c r="F6" s="10">
        <f t="shared" si="1"/>
        <v>0</v>
      </c>
      <c r="G6" s="11"/>
    </row>
    <row r="7" spans="1:9" x14ac:dyDescent="0.25">
      <c r="A7" s="6">
        <f t="shared" si="0"/>
        <v>6</v>
      </c>
      <c r="B7" s="13" t="s">
        <v>13</v>
      </c>
      <c r="C7" s="14"/>
      <c r="D7" s="10"/>
      <c r="E7" s="10"/>
      <c r="F7" s="10">
        <f t="shared" si="1"/>
        <v>0</v>
      </c>
      <c r="G7" s="11"/>
    </row>
    <row r="8" spans="1:9" x14ac:dyDescent="0.25">
      <c r="A8" s="6">
        <f t="shared" si="0"/>
        <v>7</v>
      </c>
      <c r="B8" s="16"/>
      <c r="C8" s="14"/>
      <c r="D8" s="10"/>
      <c r="E8" s="10"/>
      <c r="F8" s="14">
        <f t="shared" si="1"/>
        <v>0</v>
      </c>
      <c r="G8" s="11"/>
    </row>
    <row r="9" spans="1:9" x14ac:dyDescent="0.25">
      <c r="A9" s="6">
        <f t="shared" si="0"/>
        <v>8</v>
      </c>
      <c r="B9" s="16"/>
      <c r="C9" s="14"/>
      <c r="D9" s="10"/>
      <c r="E9" s="10"/>
      <c r="F9" s="10">
        <f t="shared" si="1"/>
        <v>0</v>
      </c>
      <c r="G9" s="11"/>
    </row>
    <row r="10" spans="1:9" x14ac:dyDescent="0.25">
      <c r="A10" s="6">
        <f t="shared" si="0"/>
        <v>9</v>
      </c>
      <c r="B10" s="16"/>
      <c r="C10" s="14"/>
      <c r="D10" s="10"/>
      <c r="E10" s="10"/>
      <c r="F10" s="10">
        <f t="shared" si="1"/>
        <v>0</v>
      </c>
      <c r="G10" s="11"/>
    </row>
    <row r="11" spans="1:9" x14ac:dyDescent="0.25">
      <c r="A11" s="6">
        <f t="shared" si="0"/>
        <v>10</v>
      </c>
      <c r="B11" s="16"/>
      <c r="C11" s="14"/>
      <c r="D11" s="17"/>
      <c r="E11" s="17"/>
      <c r="F11" s="10">
        <f t="shared" si="1"/>
        <v>0</v>
      </c>
      <c r="G11" s="11"/>
    </row>
    <row r="12" spans="1:9" x14ac:dyDescent="0.25">
      <c r="A12" s="6">
        <f t="shared" si="0"/>
        <v>11</v>
      </c>
      <c r="B12" s="16"/>
      <c r="C12" s="14"/>
      <c r="D12" s="17"/>
      <c r="E12" s="17"/>
      <c r="F12" s="10">
        <f t="shared" si="1"/>
        <v>0</v>
      </c>
      <c r="G12" s="11"/>
    </row>
    <row r="13" spans="1:9" x14ac:dyDescent="0.25">
      <c r="A13" s="6">
        <f t="shared" si="0"/>
        <v>12</v>
      </c>
      <c r="B13" s="16"/>
      <c r="C13" s="14"/>
      <c r="D13" s="17"/>
      <c r="E13" s="17"/>
      <c r="F13" s="10">
        <f t="shared" si="1"/>
        <v>0</v>
      </c>
      <c r="G13" s="11"/>
    </row>
    <row r="14" spans="1:9" x14ac:dyDescent="0.25">
      <c r="A14" s="6">
        <f t="shared" si="0"/>
        <v>13</v>
      </c>
      <c r="B14" s="16"/>
      <c r="C14" s="14"/>
      <c r="D14" s="17"/>
      <c r="E14" s="17"/>
      <c r="F14" s="10">
        <f t="shared" si="1"/>
        <v>0</v>
      </c>
      <c r="G14" s="11"/>
    </row>
    <row r="15" spans="1:9" x14ac:dyDescent="0.25">
      <c r="A15" s="6">
        <f t="shared" si="0"/>
        <v>14</v>
      </c>
      <c r="B15" s="16"/>
      <c r="C15" s="14"/>
      <c r="D15" s="17"/>
      <c r="E15" s="17"/>
      <c r="F15" s="10">
        <f t="shared" si="1"/>
        <v>0</v>
      </c>
      <c r="G15" s="11"/>
    </row>
    <row r="16" spans="1:9" x14ac:dyDescent="0.25">
      <c r="A16" s="6">
        <f t="shared" si="0"/>
        <v>15</v>
      </c>
      <c r="B16" s="16"/>
      <c r="C16" s="14"/>
      <c r="D16" s="17"/>
      <c r="E16" s="17"/>
      <c r="F16" s="10">
        <f t="shared" si="1"/>
        <v>0</v>
      </c>
      <c r="G16" s="11"/>
    </row>
    <row r="17" spans="1:7" x14ac:dyDescent="0.25">
      <c r="A17" s="6">
        <f t="shared" si="0"/>
        <v>16</v>
      </c>
      <c r="B17" s="16"/>
      <c r="C17" s="14"/>
      <c r="D17" s="17"/>
      <c r="E17" s="17"/>
      <c r="F17" s="10">
        <f t="shared" si="1"/>
        <v>0</v>
      </c>
      <c r="G17" s="11"/>
    </row>
    <row r="18" spans="1:7" x14ac:dyDescent="0.25">
      <c r="A18" s="6">
        <f t="shared" si="0"/>
        <v>17</v>
      </c>
      <c r="B18" s="16" t="s">
        <v>14</v>
      </c>
      <c r="C18" s="14"/>
      <c r="D18" s="17"/>
      <c r="E18" s="17"/>
      <c r="F18" s="10">
        <f t="shared" si="1"/>
        <v>0</v>
      </c>
      <c r="G18" s="11"/>
    </row>
    <row r="19" spans="1:7" x14ac:dyDescent="0.25">
      <c r="A19" s="6">
        <f t="shared" si="0"/>
        <v>18</v>
      </c>
      <c r="B19" s="16" t="s">
        <v>15</v>
      </c>
      <c r="C19" s="14"/>
      <c r="D19" s="17"/>
      <c r="E19" s="17"/>
      <c r="F19" s="10">
        <f t="shared" si="1"/>
        <v>0</v>
      </c>
      <c r="G19" s="11"/>
    </row>
    <row r="20" spans="1:7" x14ac:dyDescent="0.25">
      <c r="A20" s="6">
        <f t="shared" si="0"/>
        <v>19</v>
      </c>
      <c r="B20" s="16" t="s">
        <v>16</v>
      </c>
      <c r="C20" s="14"/>
      <c r="D20" s="17"/>
      <c r="E20" s="17"/>
      <c r="F20" s="10">
        <f t="shared" si="1"/>
        <v>0</v>
      </c>
      <c r="G20" s="11"/>
    </row>
    <row r="21" spans="1:7" ht="15.75" customHeight="1" thickBot="1" x14ac:dyDescent="0.3">
      <c r="A21" s="6">
        <f t="shared" si="0"/>
        <v>20</v>
      </c>
      <c r="B21" s="16" t="s">
        <v>17</v>
      </c>
      <c r="C21" s="18"/>
      <c r="D21" s="19"/>
      <c r="E21" s="17"/>
      <c r="F21" s="10">
        <f t="shared" si="1"/>
        <v>0</v>
      </c>
      <c r="G21" s="11"/>
    </row>
    <row r="22" spans="1:7" ht="15.75" customHeight="1" thickBot="1" x14ac:dyDescent="0.3">
      <c r="A22" s="20"/>
      <c r="B22" s="21" t="s">
        <v>18</v>
      </c>
      <c r="C22" s="22"/>
      <c r="D22" s="22"/>
      <c r="E22" s="23"/>
      <c r="F22" s="24">
        <f>SUM(F2:F21)</f>
        <v>0</v>
      </c>
      <c r="G22" s="25"/>
    </row>
    <row r="25" spans="1:7" ht="15.75" customHeight="1" thickBot="1" x14ac:dyDescent="0.3"/>
    <row r="26" spans="1:7" ht="15.75" customHeight="1" thickBot="1" x14ac:dyDescent="0.3">
      <c r="A26" s="26" t="s">
        <v>0</v>
      </c>
      <c r="B26" s="27" t="s">
        <v>1</v>
      </c>
      <c r="C26" s="26" t="s">
        <v>19</v>
      </c>
    </row>
    <row r="27" spans="1:7" x14ac:dyDescent="0.25">
      <c r="A27" s="28">
        <v>1</v>
      </c>
      <c r="B27" s="29"/>
      <c r="C27" s="30"/>
    </row>
    <row r="28" spans="1:7" x14ac:dyDescent="0.25">
      <c r="A28" s="28">
        <v>2</v>
      </c>
      <c r="B28" s="29"/>
      <c r="C28" s="30"/>
    </row>
    <row r="29" spans="1:7" x14ac:dyDescent="0.25">
      <c r="A29" s="28">
        <v>3</v>
      </c>
      <c r="B29" s="29"/>
      <c r="C29" s="30"/>
    </row>
    <row r="30" spans="1:7" x14ac:dyDescent="0.25">
      <c r="A30" s="28">
        <v>4</v>
      </c>
      <c r="B30" s="29"/>
      <c r="C30" s="30"/>
    </row>
    <row r="31" spans="1:7" x14ac:dyDescent="0.25">
      <c r="A31" s="28">
        <v>5</v>
      </c>
      <c r="B31" s="29"/>
      <c r="C31" s="30"/>
    </row>
    <row r="32" spans="1:7" x14ac:dyDescent="0.25">
      <c r="A32" s="28">
        <v>6</v>
      </c>
      <c r="B32" s="29"/>
      <c r="C32" s="30"/>
    </row>
    <row r="33" spans="1:3" x14ac:dyDescent="0.25">
      <c r="A33" s="28">
        <v>7</v>
      </c>
      <c r="B33" s="29"/>
      <c r="C33" s="30"/>
    </row>
    <row r="34" spans="1:3" x14ac:dyDescent="0.25">
      <c r="A34" s="28">
        <v>8</v>
      </c>
      <c r="B34" s="29"/>
      <c r="C34" s="30"/>
    </row>
    <row r="35" spans="1:3" x14ac:dyDescent="0.25">
      <c r="A35" s="28">
        <v>9</v>
      </c>
      <c r="B35" s="29"/>
      <c r="C35" s="30"/>
    </row>
    <row r="36" spans="1:3" x14ac:dyDescent="0.25">
      <c r="A36" s="28">
        <v>10</v>
      </c>
      <c r="B36" s="29"/>
      <c r="C36" s="30"/>
    </row>
    <row r="37" spans="1:3" x14ac:dyDescent="0.25">
      <c r="A37" s="28">
        <v>11</v>
      </c>
      <c r="B37" s="29"/>
      <c r="C37" s="30"/>
    </row>
    <row r="38" spans="1:3" x14ac:dyDescent="0.25">
      <c r="A38" s="28">
        <v>12</v>
      </c>
      <c r="B38" s="29"/>
      <c r="C38" s="30"/>
    </row>
    <row r="39" spans="1:3" x14ac:dyDescent="0.25">
      <c r="A39" s="28">
        <v>13</v>
      </c>
      <c r="B39" s="29"/>
      <c r="C39" s="30"/>
    </row>
    <row r="40" spans="1:3" x14ac:dyDescent="0.25">
      <c r="A40" s="28">
        <v>14</v>
      </c>
      <c r="B40" s="29"/>
      <c r="C40" s="30"/>
    </row>
    <row r="41" spans="1:3" x14ac:dyDescent="0.25">
      <c r="A41" s="28">
        <v>15</v>
      </c>
      <c r="B41" s="29"/>
      <c r="C41" s="30"/>
    </row>
    <row r="42" spans="1:3" x14ac:dyDescent="0.25">
      <c r="A42" s="28">
        <v>16</v>
      </c>
      <c r="B42" s="29"/>
      <c r="C42" s="30"/>
    </row>
    <row r="43" spans="1:3" x14ac:dyDescent="0.25">
      <c r="A43" s="28">
        <v>17</v>
      </c>
      <c r="B43" s="29"/>
      <c r="C43" s="30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85"/>
  <sheetViews>
    <sheetView topLeftCell="A54" workbookViewId="0">
      <selection activeCell="C70" sqref="B62:C70"/>
    </sheetView>
  </sheetViews>
  <sheetFormatPr defaultRowHeight="15" x14ac:dyDescent="0.25"/>
  <cols>
    <col min="1" max="1" width="6.7109375" bestFit="1" customWidth="1"/>
    <col min="2" max="2" width="56.7109375" customWidth="1"/>
    <col min="3" max="3" width="9.5703125" bestFit="1" customWidth="1"/>
    <col min="4" max="4" width="8.7109375" bestFit="1" customWidth="1"/>
    <col min="5" max="5" width="12.42578125" bestFit="1" customWidth="1"/>
    <col min="6" max="6" width="10.85546875" bestFit="1" customWidth="1"/>
    <col min="7" max="7" width="6.7109375" bestFit="1" customWidth="1"/>
  </cols>
  <sheetData>
    <row r="1" spans="1:9" ht="15.75" customHeight="1" thickBot="1" x14ac:dyDescent="0.3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2" t="s">
        <v>6</v>
      </c>
    </row>
    <row r="2" spans="1:9" x14ac:dyDescent="0.25">
      <c r="A2" s="6">
        <f t="shared" ref="A2:A21" si="0">ROW() - ROW($A$1)</f>
        <v>1</v>
      </c>
      <c r="B2" s="7" t="s">
        <v>7</v>
      </c>
      <c r="C2" s="8"/>
      <c r="D2" s="9"/>
      <c r="E2" s="9">
        <v>1.388888888888889E-2</v>
      </c>
      <c r="F2" s="10">
        <f t="shared" ref="F2:F21" si="1">D2-C2</f>
        <v>0</v>
      </c>
      <c r="G2" s="11"/>
      <c r="I2" s="12" t="s">
        <v>8</v>
      </c>
    </row>
    <row r="3" spans="1:9" x14ac:dyDescent="0.25">
      <c r="A3" s="6">
        <f t="shared" si="0"/>
        <v>2</v>
      </c>
      <c r="B3" s="13" t="s">
        <v>9</v>
      </c>
      <c r="C3" s="14"/>
      <c r="D3" s="10"/>
      <c r="E3" s="10">
        <v>1.7361111111111108E-2</v>
      </c>
      <c r="F3" s="10">
        <f t="shared" si="1"/>
        <v>0</v>
      </c>
      <c r="G3" s="11"/>
    </row>
    <row r="4" spans="1:9" x14ac:dyDescent="0.25">
      <c r="A4" s="6">
        <f t="shared" si="0"/>
        <v>3</v>
      </c>
      <c r="B4" s="15" t="s">
        <v>10</v>
      </c>
      <c r="C4" s="14"/>
      <c r="D4" s="10"/>
      <c r="E4" s="10">
        <v>6.9444444444444441E-3</v>
      </c>
      <c r="F4" s="10">
        <f t="shared" si="1"/>
        <v>0</v>
      </c>
      <c r="G4" s="11"/>
    </row>
    <row r="5" spans="1:9" x14ac:dyDescent="0.25">
      <c r="A5" s="6">
        <f t="shared" si="0"/>
        <v>4</v>
      </c>
      <c r="B5" s="13" t="s">
        <v>11</v>
      </c>
      <c r="C5" s="14"/>
      <c r="D5" s="10"/>
      <c r="E5" s="10">
        <v>4.1666666666666657E-2</v>
      </c>
      <c r="F5" s="10">
        <f t="shared" si="1"/>
        <v>0</v>
      </c>
      <c r="G5" s="11"/>
    </row>
    <row r="6" spans="1:9" x14ac:dyDescent="0.25">
      <c r="A6" s="6">
        <f t="shared" si="0"/>
        <v>5</v>
      </c>
      <c r="B6" s="16" t="s">
        <v>12</v>
      </c>
      <c r="C6" s="14"/>
      <c r="D6" s="10"/>
      <c r="E6" s="10"/>
      <c r="F6" s="10">
        <f t="shared" si="1"/>
        <v>0</v>
      </c>
      <c r="G6" s="11"/>
    </row>
    <row r="7" spans="1:9" x14ac:dyDescent="0.25">
      <c r="A7" s="6">
        <f t="shared" si="0"/>
        <v>6</v>
      </c>
      <c r="B7" s="13" t="s">
        <v>13</v>
      </c>
      <c r="C7" s="14"/>
      <c r="D7" s="10"/>
      <c r="E7" s="10"/>
      <c r="F7" s="10">
        <f t="shared" si="1"/>
        <v>0</v>
      </c>
      <c r="G7" s="11"/>
    </row>
    <row r="8" spans="1:9" x14ac:dyDescent="0.25">
      <c r="A8" s="6">
        <f t="shared" si="0"/>
        <v>7</v>
      </c>
      <c r="B8" s="16"/>
      <c r="C8" s="14"/>
      <c r="D8" s="10"/>
      <c r="E8" s="10"/>
      <c r="F8" s="14">
        <f t="shared" si="1"/>
        <v>0</v>
      </c>
      <c r="G8" s="11"/>
    </row>
    <row r="9" spans="1:9" x14ac:dyDescent="0.25">
      <c r="A9" s="6">
        <f t="shared" si="0"/>
        <v>8</v>
      </c>
      <c r="B9" s="16"/>
      <c r="C9" s="14"/>
      <c r="D9" s="10"/>
      <c r="E9" s="10"/>
      <c r="F9" s="10">
        <f t="shared" si="1"/>
        <v>0</v>
      </c>
      <c r="G9" s="11"/>
    </row>
    <row r="10" spans="1:9" x14ac:dyDescent="0.25">
      <c r="A10" s="6">
        <f t="shared" si="0"/>
        <v>9</v>
      </c>
      <c r="B10" s="16"/>
      <c r="C10" s="14"/>
      <c r="D10" s="10"/>
      <c r="E10" s="10"/>
      <c r="F10" s="10">
        <f t="shared" si="1"/>
        <v>0</v>
      </c>
      <c r="G10" s="11"/>
    </row>
    <row r="11" spans="1:9" x14ac:dyDescent="0.25">
      <c r="A11" s="6">
        <f t="shared" si="0"/>
        <v>10</v>
      </c>
      <c r="B11" s="16"/>
      <c r="C11" s="14"/>
      <c r="D11" s="17"/>
      <c r="E11" s="17"/>
      <c r="F11" s="10">
        <f t="shared" si="1"/>
        <v>0</v>
      </c>
      <c r="G11" s="11"/>
    </row>
    <row r="12" spans="1:9" x14ac:dyDescent="0.25">
      <c r="A12" s="6">
        <f t="shared" si="0"/>
        <v>11</v>
      </c>
      <c r="B12" s="16"/>
      <c r="C12" s="14"/>
      <c r="D12" s="17"/>
      <c r="E12" s="17"/>
      <c r="F12" s="10">
        <f t="shared" si="1"/>
        <v>0</v>
      </c>
      <c r="G12" s="11"/>
    </row>
    <row r="13" spans="1:9" x14ac:dyDescent="0.25">
      <c r="A13" s="6">
        <f t="shared" si="0"/>
        <v>12</v>
      </c>
      <c r="B13" s="16"/>
      <c r="C13" s="14"/>
      <c r="D13" s="17"/>
      <c r="E13" s="17"/>
      <c r="F13" s="10">
        <f t="shared" si="1"/>
        <v>0</v>
      </c>
      <c r="G13" s="11"/>
    </row>
    <row r="14" spans="1:9" x14ac:dyDescent="0.25">
      <c r="A14" s="6">
        <f t="shared" si="0"/>
        <v>13</v>
      </c>
      <c r="B14" s="16"/>
      <c r="C14" s="14"/>
      <c r="D14" s="17"/>
      <c r="E14" s="17"/>
      <c r="F14" s="10">
        <f t="shared" si="1"/>
        <v>0</v>
      </c>
      <c r="G14" s="11"/>
    </row>
    <row r="15" spans="1:9" x14ac:dyDescent="0.25">
      <c r="A15" s="6">
        <f t="shared" si="0"/>
        <v>14</v>
      </c>
      <c r="B15" s="16"/>
      <c r="C15" s="14"/>
      <c r="D15" s="17"/>
      <c r="E15" s="17"/>
      <c r="F15" s="10">
        <f t="shared" si="1"/>
        <v>0</v>
      </c>
      <c r="G15" s="11"/>
    </row>
    <row r="16" spans="1:9" x14ac:dyDescent="0.25">
      <c r="A16" s="6">
        <f t="shared" si="0"/>
        <v>15</v>
      </c>
      <c r="B16" s="16"/>
      <c r="C16" s="14"/>
      <c r="D16" s="17"/>
      <c r="E16" s="17"/>
      <c r="F16" s="10">
        <f t="shared" si="1"/>
        <v>0</v>
      </c>
      <c r="G16" s="11"/>
    </row>
    <row r="17" spans="1:7" x14ac:dyDescent="0.25">
      <c r="A17" s="6">
        <f t="shared" si="0"/>
        <v>16</v>
      </c>
      <c r="B17" s="16"/>
      <c r="C17" s="14"/>
      <c r="D17" s="17"/>
      <c r="E17" s="17"/>
      <c r="F17" s="10">
        <f t="shared" si="1"/>
        <v>0</v>
      </c>
      <c r="G17" s="11"/>
    </row>
    <row r="18" spans="1:7" x14ac:dyDescent="0.25">
      <c r="A18" s="6">
        <f t="shared" si="0"/>
        <v>17</v>
      </c>
      <c r="B18" s="16" t="s">
        <v>14</v>
      </c>
      <c r="C18" s="14"/>
      <c r="D18" s="17"/>
      <c r="E18" s="17"/>
      <c r="F18" s="10">
        <f t="shared" si="1"/>
        <v>0</v>
      </c>
      <c r="G18" s="11"/>
    </row>
    <row r="19" spans="1:7" x14ac:dyDescent="0.25">
      <c r="A19" s="6">
        <f t="shared" si="0"/>
        <v>18</v>
      </c>
      <c r="B19" s="16" t="s">
        <v>15</v>
      </c>
      <c r="C19" s="14"/>
      <c r="D19" s="17"/>
      <c r="E19" s="17"/>
      <c r="F19" s="10">
        <f t="shared" si="1"/>
        <v>0</v>
      </c>
      <c r="G19" s="11"/>
    </row>
    <row r="20" spans="1:7" x14ac:dyDescent="0.25">
      <c r="A20" s="6">
        <f t="shared" si="0"/>
        <v>19</v>
      </c>
      <c r="B20" s="16" t="s">
        <v>16</v>
      </c>
      <c r="C20" s="14"/>
      <c r="D20" s="17"/>
      <c r="E20" s="17"/>
      <c r="F20" s="10">
        <f t="shared" si="1"/>
        <v>0</v>
      </c>
      <c r="G20" s="11"/>
    </row>
    <row r="21" spans="1:7" ht="15.75" customHeight="1" thickBot="1" x14ac:dyDescent="0.3">
      <c r="A21" s="6">
        <f t="shared" si="0"/>
        <v>20</v>
      </c>
      <c r="B21" s="16" t="s">
        <v>17</v>
      </c>
      <c r="C21" s="18"/>
      <c r="D21" s="19"/>
      <c r="E21" s="17"/>
      <c r="F21" s="10">
        <f t="shared" si="1"/>
        <v>0</v>
      </c>
      <c r="G21" s="11"/>
    </row>
    <row r="22" spans="1:7" ht="15.75" customHeight="1" thickBot="1" x14ac:dyDescent="0.3">
      <c r="A22" s="20"/>
      <c r="B22" s="21" t="s">
        <v>18</v>
      </c>
      <c r="C22" s="22"/>
      <c r="D22" s="22"/>
      <c r="E22" s="23"/>
      <c r="F22" s="24">
        <f>SUM(F2:F21)</f>
        <v>0</v>
      </c>
      <c r="G22" s="25"/>
    </row>
    <row r="25" spans="1:7" ht="15.75" customHeight="1" thickBot="1" x14ac:dyDescent="0.3"/>
    <row r="26" spans="1:7" ht="15.75" customHeight="1" thickBot="1" x14ac:dyDescent="0.3">
      <c r="A26" s="26" t="s">
        <v>0</v>
      </c>
      <c r="B26" s="27" t="s">
        <v>1</v>
      </c>
      <c r="C26" s="26" t="s">
        <v>19</v>
      </c>
    </row>
    <row r="27" spans="1:7" x14ac:dyDescent="0.25">
      <c r="A27" s="28">
        <v>1</v>
      </c>
      <c r="B27" s="29"/>
      <c r="C27" s="30"/>
    </row>
    <row r="28" spans="1:7" x14ac:dyDescent="0.25">
      <c r="A28" s="28">
        <v>2</v>
      </c>
      <c r="B28" s="29"/>
      <c r="C28" s="30"/>
    </row>
    <row r="29" spans="1:7" x14ac:dyDescent="0.25">
      <c r="A29" s="28">
        <v>3</v>
      </c>
      <c r="B29" s="29"/>
      <c r="C29" s="30"/>
    </row>
    <row r="30" spans="1:7" x14ac:dyDescent="0.25">
      <c r="A30" s="28">
        <v>4</v>
      </c>
      <c r="B30" s="29"/>
      <c r="C30" s="30"/>
    </row>
    <row r="31" spans="1:7" x14ac:dyDescent="0.25">
      <c r="A31" s="28">
        <v>5</v>
      </c>
      <c r="B31" s="29"/>
      <c r="C31" s="30"/>
    </row>
    <row r="32" spans="1:7" x14ac:dyDescent="0.25">
      <c r="A32" s="28">
        <v>6</v>
      </c>
      <c r="B32" s="29"/>
      <c r="C32" s="30"/>
    </row>
    <row r="33" spans="1:3" x14ac:dyDescent="0.25">
      <c r="A33" s="28">
        <v>7</v>
      </c>
      <c r="B33" s="29"/>
      <c r="C33" s="30"/>
    </row>
    <row r="34" spans="1:3" x14ac:dyDescent="0.25">
      <c r="A34" s="28">
        <v>8</v>
      </c>
      <c r="B34" s="29"/>
      <c r="C34" s="30"/>
    </row>
    <row r="35" spans="1:3" x14ac:dyDescent="0.25">
      <c r="A35" s="28">
        <v>9</v>
      </c>
      <c r="B35" s="29"/>
      <c r="C35" s="30"/>
    </row>
    <row r="36" spans="1:3" x14ac:dyDescent="0.25">
      <c r="A36" s="28">
        <v>10</v>
      </c>
      <c r="B36" s="29"/>
      <c r="C36" s="30"/>
    </row>
    <row r="37" spans="1:3" x14ac:dyDescent="0.25">
      <c r="A37" s="28">
        <v>11</v>
      </c>
      <c r="B37" s="29"/>
      <c r="C37" s="30"/>
    </row>
    <row r="38" spans="1:3" x14ac:dyDescent="0.25">
      <c r="A38" s="28">
        <v>12</v>
      </c>
      <c r="B38" s="29"/>
      <c r="C38" s="30"/>
    </row>
    <row r="39" spans="1:3" x14ac:dyDescent="0.25">
      <c r="A39" s="28">
        <v>13</v>
      </c>
      <c r="B39" s="29"/>
      <c r="C39" s="30"/>
    </row>
    <row r="40" spans="1:3" x14ac:dyDescent="0.25">
      <c r="A40" s="28">
        <v>14</v>
      </c>
      <c r="B40" s="29"/>
      <c r="C40" s="30"/>
    </row>
    <row r="41" spans="1:3" x14ac:dyDescent="0.25">
      <c r="A41" s="28">
        <v>15</v>
      </c>
      <c r="B41" s="29"/>
      <c r="C41" s="30"/>
    </row>
    <row r="42" spans="1:3" x14ac:dyDescent="0.25">
      <c r="A42" s="28">
        <v>16</v>
      </c>
      <c r="B42" s="29"/>
      <c r="C42" s="30"/>
    </row>
    <row r="43" spans="1:3" x14ac:dyDescent="0.25">
      <c r="A43" s="28">
        <v>17</v>
      </c>
      <c r="B43" s="29"/>
      <c r="C43" s="30"/>
    </row>
    <row r="51" spans="2:7" x14ac:dyDescent="0.25">
      <c r="B51" s="69" t="s">
        <v>185</v>
      </c>
    </row>
    <row r="52" spans="2:7" x14ac:dyDescent="0.25">
      <c r="B52" s="69" t="s">
        <v>186</v>
      </c>
    </row>
    <row r="53" spans="2:7" x14ac:dyDescent="0.25">
      <c r="B53" t="s">
        <v>187</v>
      </c>
    </row>
    <row r="54" spans="2:7" x14ac:dyDescent="0.25">
      <c r="B54" s="70" t="s">
        <v>188</v>
      </c>
    </row>
    <row r="62" spans="2:7" x14ac:dyDescent="0.25">
      <c r="B62">
        <v>1</v>
      </c>
      <c r="C62" t="s">
        <v>189</v>
      </c>
      <c r="E62" t="str">
        <f t="shared" ref="E62:E70" si="2">CONCATENATE(B62,". ",C62)</f>
        <v>1. Overnight failure analysis for Bench06 and Bench07</v>
      </c>
      <c r="G62" t="s">
        <v>190</v>
      </c>
    </row>
    <row r="63" spans="2:7" x14ac:dyDescent="0.25">
      <c r="B63">
        <v>2</v>
      </c>
      <c r="C63" t="s">
        <v>191</v>
      </c>
      <c r="E63" t="str">
        <f t="shared" si="2"/>
        <v>2. Overnight failure re-execution for Bench06 and Bench07</v>
      </c>
      <c r="G63" t="s">
        <v>192</v>
      </c>
    </row>
    <row r="64" spans="2:7" x14ac:dyDescent="0.25">
      <c r="B64">
        <v>3</v>
      </c>
      <c r="C64" t="s">
        <v>193</v>
      </c>
      <c r="E64" t="str">
        <f t="shared" si="2"/>
        <v>3. Discussion of overnight failures with Lead</v>
      </c>
      <c r="G64" t="s">
        <v>194</v>
      </c>
    </row>
    <row r="65" spans="2:7" x14ac:dyDescent="0.25">
      <c r="B65">
        <v>4</v>
      </c>
      <c r="C65" t="s">
        <v>195</v>
      </c>
      <c r="E65" t="str">
        <f t="shared" si="2"/>
        <v>4. Internal JIRA Tickets Updating of Bench06 and Bench07</v>
      </c>
      <c r="G65" t="s">
        <v>196</v>
      </c>
    </row>
    <row r="66" spans="2:7" x14ac:dyDescent="0.25">
      <c r="B66">
        <v>5</v>
      </c>
      <c r="C66" t="s">
        <v>197</v>
      </c>
      <c r="E66" t="str">
        <f t="shared" si="2"/>
        <v>5. Calibration of Bench06 and Bench07</v>
      </c>
      <c r="G66" t="s">
        <v>198</v>
      </c>
    </row>
    <row r="67" spans="2:7" x14ac:dyDescent="0.25">
      <c r="B67">
        <v>6</v>
      </c>
      <c r="C67" t="s">
        <v>199</v>
      </c>
      <c r="E67" t="str">
        <f t="shared" si="2"/>
        <v>6. Bench Maintenance Activity of Bench06 and Bench07</v>
      </c>
      <c r="G67" t="s">
        <v>200</v>
      </c>
    </row>
    <row r="68" spans="2:7" x14ac:dyDescent="0.25">
      <c r="B68">
        <v>7</v>
      </c>
      <c r="C68" t="s">
        <v>201</v>
      </c>
      <c r="E68" t="str">
        <f t="shared" si="2"/>
        <v>7. New Development Activity - TS Creation</v>
      </c>
      <c r="G68" t="s">
        <v>202</v>
      </c>
    </row>
    <row r="69" spans="2:7" x14ac:dyDescent="0.25">
      <c r="B69">
        <v>8</v>
      </c>
      <c r="C69" t="s">
        <v>203</v>
      </c>
      <c r="E69" t="str">
        <f t="shared" si="2"/>
        <v>8. Build flashing on Bench06 and Bench07</v>
      </c>
      <c r="G69" t="s">
        <v>204</v>
      </c>
    </row>
    <row r="70" spans="2:7" x14ac:dyDescent="0.25">
      <c r="B70">
        <v>9</v>
      </c>
      <c r="C70" t="s">
        <v>205</v>
      </c>
      <c r="E70" t="str">
        <f t="shared" si="2"/>
        <v>9. Sanity of Bench06 and Bench07</v>
      </c>
      <c r="G70" t="s">
        <v>206</v>
      </c>
    </row>
    <row r="85" spans="4:4" x14ac:dyDescent="0.25">
      <c r="D85" t="s">
        <v>154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43"/>
  <sheetViews>
    <sheetView workbookViewId="0"/>
  </sheetViews>
  <sheetFormatPr defaultRowHeight="15" x14ac:dyDescent="0.25"/>
  <cols>
    <col min="1" max="1" width="6.7109375" bestFit="1" customWidth="1"/>
    <col min="2" max="2" width="56.7109375" customWidth="1"/>
    <col min="3" max="3" width="9.5703125" bestFit="1" customWidth="1"/>
    <col min="4" max="4" width="8.7109375" bestFit="1" customWidth="1"/>
    <col min="5" max="5" width="12.42578125" bestFit="1" customWidth="1"/>
    <col min="6" max="6" width="10.85546875" bestFit="1" customWidth="1"/>
    <col min="7" max="7" width="6.7109375" bestFit="1" customWidth="1"/>
  </cols>
  <sheetData>
    <row r="1" spans="1:9" ht="15.75" customHeight="1" thickBot="1" x14ac:dyDescent="0.3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2" t="s">
        <v>6</v>
      </c>
    </row>
    <row r="2" spans="1:9" x14ac:dyDescent="0.25">
      <c r="A2" s="6">
        <f t="shared" ref="A2:A21" si="0">ROW() - ROW($A$1)</f>
        <v>1</v>
      </c>
      <c r="B2" s="7" t="s">
        <v>7</v>
      </c>
      <c r="C2" s="8"/>
      <c r="D2" s="9"/>
      <c r="E2" s="9">
        <v>1.388888888888889E-2</v>
      </c>
      <c r="F2" s="10">
        <f t="shared" ref="F2:F21" si="1">D2-C2</f>
        <v>0</v>
      </c>
      <c r="G2" s="11"/>
      <c r="I2" s="12" t="s">
        <v>8</v>
      </c>
    </row>
    <row r="3" spans="1:9" x14ac:dyDescent="0.25">
      <c r="A3" s="6">
        <f t="shared" si="0"/>
        <v>2</v>
      </c>
      <c r="B3" s="13" t="s">
        <v>9</v>
      </c>
      <c r="C3" s="14"/>
      <c r="D3" s="10"/>
      <c r="E3" s="10">
        <v>1.7361111111111108E-2</v>
      </c>
      <c r="F3" s="10">
        <f t="shared" si="1"/>
        <v>0</v>
      </c>
      <c r="G3" s="11"/>
    </row>
    <row r="4" spans="1:9" x14ac:dyDescent="0.25">
      <c r="A4" s="6">
        <f t="shared" si="0"/>
        <v>3</v>
      </c>
      <c r="B4" s="15" t="s">
        <v>10</v>
      </c>
      <c r="C4" s="14"/>
      <c r="D4" s="10"/>
      <c r="E4" s="10">
        <v>6.9444444444444441E-3</v>
      </c>
      <c r="F4" s="10">
        <f t="shared" si="1"/>
        <v>0</v>
      </c>
      <c r="G4" s="11"/>
    </row>
    <row r="5" spans="1:9" x14ac:dyDescent="0.25">
      <c r="A5" s="6">
        <f t="shared" si="0"/>
        <v>4</v>
      </c>
      <c r="B5" s="13" t="s">
        <v>11</v>
      </c>
      <c r="C5" s="14"/>
      <c r="D5" s="10"/>
      <c r="E5" s="10">
        <v>4.1666666666666657E-2</v>
      </c>
      <c r="F5" s="10">
        <f t="shared" si="1"/>
        <v>0</v>
      </c>
      <c r="G5" s="11"/>
    </row>
    <row r="6" spans="1:9" x14ac:dyDescent="0.25">
      <c r="A6" s="6">
        <f t="shared" si="0"/>
        <v>5</v>
      </c>
      <c r="B6" s="16" t="s">
        <v>12</v>
      </c>
      <c r="C6" s="14"/>
      <c r="D6" s="10"/>
      <c r="E6" s="10"/>
      <c r="F6" s="10">
        <f t="shared" si="1"/>
        <v>0</v>
      </c>
      <c r="G6" s="11"/>
    </row>
    <row r="7" spans="1:9" x14ac:dyDescent="0.25">
      <c r="A7" s="6">
        <f t="shared" si="0"/>
        <v>6</v>
      </c>
      <c r="B7" s="13" t="s">
        <v>13</v>
      </c>
      <c r="C7" s="14"/>
      <c r="D7" s="10"/>
      <c r="E7" s="10"/>
      <c r="F7" s="10">
        <f t="shared" si="1"/>
        <v>0</v>
      </c>
      <c r="G7" s="11"/>
    </row>
    <row r="8" spans="1:9" x14ac:dyDescent="0.25">
      <c r="A8" s="6">
        <f t="shared" si="0"/>
        <v>7</v>
      </c>
      <c r="B8" s="16"/>
      <c r="C8" s="14"/>
      <c r="D8" s="10"/>
      <c r="E8" s="10"/>
      <c r="F8" s="14">
        <f t="shared" si="1"/>
        <v>0</v>
      </c>
      <c r="G8" s="11"/>
    </row>
    <row r="9" spans="1:9" x14ac:dyDescent="0.25">
      <c r="A9" s="6">
        <f t="shared" si="0"/>
        <v>8</v>
      </c>
      <c r="B9" s="16"/>
      <c r="C9" s="14"/>
      <c r="D9" s="10"/>
      <c r="E9" s="10"/>
      <c r="F9" s="10">
        <f t="shared" si="1"/>
        <v>0</v>
      </c>
      <c r="G9" s="11"/>
    </row>
    <row r="10" spans="1:9" x14ac:dyDescent="0.25">
      <c r="A10" s="6">
        <f t="shared" si="0"/>
        <v>9</v>
      </c>
      <c r="B10" s="16"/>
      <c r="C10" s="14"/>
      <c r="D10" s="10"/>
      <c r="E10" s="10"/>
      <c r="F10" s="10">
        <f t="shared" si="1"/>
        <v>0</v>
      </c>
      <c r="G10" s="11"/>
    </row>
    <row r="11" spans="1:9" x14ac:dyDescent="0.25">
      <c r="A11" s="6">
        <f t="shared" si="0"/>
        <v>10</v>
      </c>
      <c r="B11" s="16"/>
      <c r="C11" s="14"/>
      <c r="D11" s="17"/>
      <c r="E11" s="17"/>
      <c r="F11" s="10">
        <f t="shared" si="1"/>
        <v>0</v>
      </c>
      <c r="G11" s="11"/>
    </row>
    <row r="12" spans="1:9" x14ac:dyDescent="0.25">
      <c r="A12" s="6">
        <f t="shared" si="0"/>
        <v>11</v>
      </c>
      <c r="B12" s="16"/>
      <c r="C12" s="14"/>
      <c r="D12" s="17"/>
      <c r="E12" s="17"/>
      <c r="F12" s="10">
        <f t="shared" si="1"/>
        <v>0</v>
      </c>
      <c r="G12" s="11"/>
    </row>
    <row r="13" spans="1:9" x14ac:dyDescent="0.25">
      <c r="A13" s="6">
        <f t="shared" si="0"/>
        <v>12</v>
      </c>
      <c r="B13" s="16"/>
      <c r="C13" s="14"/>
      <c r="D13" s="17"/>
      <c r="E13" s="17"/>
      <c r="F13" s="10">
        <f t="shared" si="1"/>
        <v>0</v>
      </c>
      <c r="G13" s="11"/>
    </row>
    <row r="14" spans="1:9" x14ac:dyDescent="0.25">
      <c r="A14" s="6">
        <f t="shared" si="0"/>
        <v>13</v>
      </c>
      <c r="B14" s="16"/>
      <c r="C14" s="14"/>
      <c r="D14" s="17"/>
      <c r="E14" s="17"/>
      <c r="F14" s="10">
        <f t="shared" si="1"/>
        <v>0</v>
      </c>
      <c r="G14" s="11"/>
    </row>
    <row r="15" spans="1:9" x14ac:dyDescent="0.25">
      <c r="A15" s="6">
        <f t="shared" si="0"/>
        <v>14</v>
      </c>
      <c r="B15" s="16"/>
      <c r="C15" s="14"/>
      <c r="D15" s="17"/>
      <c r="E15" s="17"/>
      <c r="F15" s="10">
        <f t="shared" si="1"/>
        <v>0</v>
      </c>
      <c r="G15" s="11"/>
    </row>
    <row r="16" spans="1:9" x14ac:dyDescent="0.25">
      <c r="A16" s="6">
        <f t="shared" si="0"/>
        <v>15</v>
      </c>
      <c r="B16" s="16"/>
      <c r="C16" s="14"/>
      <c r="D16" s="17"/>
      <c r="E16" s="17"/>
      <c r="F16" s="10">
        <f t="shared" si="1"/>
        <v>0</v>
      </c>
      <c r="G16" s="11"/>
    </row>
    <row r="17" spans="1:7" x14ac:dyDescent="0.25">
      <c r="A17" s="6">
        <f t="shared" si="0"/>
        <v>16</v>
      </c>
      <c r="B17" s="16"/>
      <c r="C17" s="14"/>
      <c r="D17" s="17"/>
      <c r="E17" s="17"/>
      <c r="F17" s="10">
        <f t="shared" si="1"/>
        <v>0</v>
      </c>
      <c r="G17" s="11"/>
    </row>
    <row r="18" spans="1:7" x14ac:dyDescent="0.25">
      <c r="A18" s="6">
        <f t="shared" si="0"/>
        <v>17</v>
      </c>
      <c r="B18" s="16" t="s">
        <v>14</v>
      </c>
      <c r="C18" s="14"/>
      <c r="D18" s="17"/>
      <c r="E18" s="17"/>
      <c r="F18" s="10">
        <f t="shared" si="1"/>
        <v>0</v>
      </c>
      <c r="G18" s="11"/>
    </row>
    <row r="19" spans="1:7" x14ac:dyDescent="0.25">
      <c r="A19" s="6">
        <f t="shared" si="0"/>
        <v>18</v>
      </c>
      <c r="B19" s="16" t="s">
        <v>15</v>
      </c>
      <c r="C19" s="14"/>
      <c r="D19" s="17"/>
      <c r="E19" s="17"/>
      <c r="F19" s="10">
        <f t="shared" si="1"/>
        <v>0</v>
      </c>
      <c r="G19" s="11"/>
    </row>
    <row r="20" spans="1:7" x14ac:dyDescent="0.25">
      <c r="A20" s="6">
        <f t="shared" si="0"/>
        <v>19</v>
      </c>
      <c r="B20" s="16" t="s">
        <v>16</v>
      </c>
      <c r="C20" s="14"/>
      <c r="D20" s="17"/>
      <c r="E20" s="17"/>
      <c r="F20" s="10">
        <f t="shared" si="1"/>
        <v>0</v>
      </c>
      <c r="G20" s="11"/>
    </row>
    <row r="21" spans="1:7" ht="15.75" customHeight="1" thickBot="1" x14ac:dyDescent="0.3">
      <c r="A21" s="6">
        <f t="shared" si="0"/>
        <v>20</v>
      </c>
      <c r="B21" s="16" t="s">
        <v>17</v>
      </c>
      <c r="C21" s="18"/>
      <c r="D21" s="19"/>
      <c r="E21" s="17"/>
      <c r="F21" s="10">
        <f t="shared" si="1"/>
        <v>0</v>
      </c>
      <c r="G21" s="11"/>
    </row>
    <row r="22" spans="1:7" ht="15.75" customHeight="1" thickBot="1" x14ac:dyDescent="0.3">
      <c r="A22" s="20"/>
      <c r="B22" s="21" t="s">
        <v>18</v>
      </c>
      <c r="C22" s="22"/>
      <c r="D22" s="22"/>
      <c r="E22" s="23"/>
      <c r="F22" s="24">
        <f>SUM(F2:F21)</f>
        <v>0</v>
      </c>
      <c r="G22" s="25"/>
    </row>
    <row r="25" spans="1:7" ht="15.75" customHeight="1" thickBot="1" x14ac:dyDescent="0.3"/>
    <row r="26" spans="1:7" ht="15.75" customHeight="1" thickBot="1" x14ac:dyDescent="0.3">
      <c r="A26" s="26" t="s">
        <v>0</v>
      </c>
      <c r="B26" s="27" t="s">
        <v>1</v>
      </c>
      <c r="C26" s="26" t="s">
        <v>19</v>
      </c>
    </row>
    <row r="27" spans="1:7" x14ac:dyDescent="0.25">
      <c r="A27" s="28">
        <v>1</v>
      </c>
      <c r="B27" s="29"/>
      <c r="C27" s="30"/>
    </row>
    <row r="28" spans="1:7" x14ac:dyDescent="0.25">
      <c r="A28" s="28">
        <v>2</v>
      </c>
      <c r="B28" s="29"/>
      <c r="C28" s="30"/>
    </row>
    <row r="29" spans="1:7" x14ac:dyDescent="0.25">
      <c r="A29" s="28">
        <v>3</v>
      </c>
      <c r="B29" s="29"/>
      <c r="C29" s="30"/>
    </row>
    <row r="30" spans="1:7" x14ac:dyDescent="0.25">
      <c r="A30" s="28">
        <v>4</v>
      </c>
      <c r="B30" s="29"/>
      <c r="C30" s="30"/>
    </row>
    <row r="31" spans="1:7" x14ac:dyDescent="0.25">
      <c r="A31" s="28">
        <v>5</v>
      </c>
      <c r="B31" s="29"/>
      <c r="C31" s="30"/>
    </row>
    <row r="32" spans="1:7" x14ac:dyDescent="0.25">
      <c r="A32" s="28">
        <v>6</v>
      </c>
      <c r="B32" s="29"/>
      <c r="C32" s="30"/>
    </row>
    <row r="33" spans="1:3" x14ac:dyDescent="0.25">
      <c r="A33" s="28">
        <v>7</v>
      </c>
      <c r="B33" s="29"/>
      <c r="C33" s="30"/>
    </row>
    <row r="34" spans="1:3" x14ac:dyDescent="0.25">
      <c r="A34" s="28">
        <v>8</v>
      </c>
      <c r="B34" s="29"/>
      <c r="C34" s="30"/>
    </row>
    <row r="35" spans="1:3" x14ac:dyDescent="0.25">
      <c r="A35" s="28">
        <v>9</v>
      </c>
      <c r="B35" s="29"/>
      <c r="C35" s="30"/>
    </row>
    <row r="36" spans="1:3" x14ac:dyDescent="0.25">
      <c r="A36" s="28">
        <v>10</v>
      </c>
      <c r="B36" s="29"/>
      <c r="C36" s="30"/>
    </row>
    <row r="37" spans="1:3" x14ac:dyDescent="0.25">
      <c r="A37" s="28">
        <v>11</v>
      </c>
      <c r="B37" s="29"/>
      <c r="C37" s="30"/>
    </row>
    <row r="38" spans="1:3" x14ac:dyDescent="0.25">
      <c r="A38" s="28">
        <v>12</v>
      </c>
      <c r="B38" s="29"/>
      <c r="C38" s="30"/>
    </row>
    <row r="39" spans="1:3" x14ac:dyDescent="0.25">
      <c r="A39" s="28">
        <v>13</v>
      </c>
      <c r="B39" s="29"/>
      <c r="C39" s="30"/>
    </row>
    <row r="40" spans="1:3" x14ac:dyDescent="0.25">
      <c r="A40" s="28">
        <v>14</v>
      </c>
      <c r="B40" s="29"/>
      <c r="C40" s="30"/>
    </row>
    <row r="41" spans="1:3" x14ac:dyDescent="0.25">
      <c r="A41" s="28">
        <v>15</v>
      </c>
      <c r="B41" s="29"/>
      <c r="C41" s="30"/>
    </row>
    <row r="42" spans="1:3" x14ac:dyDescent="0.25">
      <c r="A42" s="28">
        <v>16</v>
      </c>
      <c r="B42" s="29"/>
      <c r="C42" s="30"/>
    </row>
    <row r="43" spans="1:3" x14ac:dyDescent="0.25">
      <c r="A43" s="28">
        <v>17</v>
      </c>
      <c r="B43" s="29"/>
      <c r="C43" s="30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134"/>
  <sheetViews>
    <sheetView topLeftCell="A110" workbookViewId="0">
      <selection activeCell="A130" sqref="A130:B134"/>
    </sheetView>
  </sheetViews>
  <sheetFormatPr defaultRowHeight="15" x14ac:dyDescent="0.25"/>
  <cols>
    <col min="1" max="1" width="6.7109375" bestFit="1" customWidth="1"/>
    <col min="2" max="2" width="56.7109375" customWidth="1"/>
    <col min="3" max="3" width="9.5703125" bestFit="1" customWidth="1"/>
    <col min="4" max="4" width="8.7109375" bestFit="1" customWidth="1"/>
    <col min="5" max="5" width="12.42578125" bestFit="1" customWidth="1"/>
    <col min="6" max="6" width="10.85546875" bestFit="1" customWidth="1"/>
    <col min="7" max="7" width="6.7109375" bestFit="1" customWidth="1"/>
  </cols>
  <sheetData>
    <row r="1" spans="1:9" ht="15.75" customHeight="1" thickBot="1" x14ac:dyDescent="0.3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2" t="s">
        <v>6</v>
      </c>
    </row>
    <row r="2" spans="1:9" x14ac:dyDescent="0.25">
      <c r="A2" s="6">
        <f t="shared" ref="A2:A21" si="0">ROW() - ROW($A$1)</f>
        <v>1</v>
      </c>
      <c r="B2" s="7" t="s">
        <v>7</v>
      </c>
      <c r="C2" s="8"/>
      <c r="D2" s="9"/>
      <c r="E2" s="9">
        <v>1.388888888888889E-2</v>
      </c>
      <c r="F2" s="10">
        <f t="shared" ref="F2:F21" si="1">D2-C2</f>
        <v>0</v>
      </c>
      <c r="G2" s="11"/>
      <c r="I2" s="12" t="s">
        <v>8</v>
      </c>
    </row>
    <row r="3" spans="1:9" x14ac:dyDescent="0.25">
      <c r="A3" s="6">
        <f t="shared" si="0"/>
        <v>2</v>
      </c>
      <c r="B3" s="13" t="s">
        <v>9</v>
      </c>
      <c r="C3" s="14"/>
      <c r="D3" s="10"/>
      <c r="E3" s="10">
        <v>1.7361111111111108E-2</v>
      </c>
      <c r="F3" s="10">
        <f t="shared" si="1"/>
        <v>0</v>
      </c>
      <c r="G3" s="11"/>
    </row>
    <row r="4" spans="1:9" x14ac:dyDescent="0.25">
      <c r="A4" s="6">
        <f t="shared" si="0"/>
        <v>3</v>
      </c>
      <c r="B4" s="15" t="s">
        <v>10</v>
      </c>
      <c r="C4" s="14"/>
      <c r="D4" s="10"/>
      <c r="E4" s="10">
        <v>6.9444444444444441E-3</v>
      </c>
      <c r="F4" s="10">
        <f t="shared" si="1"/>
        <v>0</v>
      </c>
      <c r="G4" s="11"/>
    </row>
    <row r="5" spans="1:9" x14ac:dyDescent="0.25">
      <c r="A5" s="6">
        <f t="shared" si="0"/>
        <v>4</v>
      </c>
      <c r="B5" s="13" t="s">
        <v>11</v>
      </c>
      <c r="C5" s="14"/>
      <c r="D5" s="10"/>
      <c r="E5" s="10">
        <v>4.1666666666666657E-2</v>
      </c>
      <c r="F5" s="10">
        <f t="shared" si="1"/>
        <v>0</v>
      </c>
      <c r="G5" s="11"/>
    </row>
    <row r="6" spans="1:9" x14ac:dyDescent="0.25">
      <c r="A6" s="6">
        <f t="shared" si="0"/>
        <v>5</v>
      </c>
      <c r="B6" s="16" t="s">
        <v>12</v>
      </c>
      <c r="C6" s="14"/>
      <c r="D6" s="10"/>
      <c r="E6" s="10"/>
      <c r="F6" s="10">
        <f t="shared" si="1"/>
        <v>0</v>
      </c>
      <c r="G6" s="11"/>
    </row>
    <row r="7" spans="1:9" x14ac:dyDescent="0.25">
      <c r="A7" s="6">
        <f t="shared" si="0"/>
        <v>6</v>
      </c>
      <c r="B7" s="13" t="s">
        <v>13</v>
      </c>
      <c r="C7" s="14"/>
      <c r="D7" s="10"/>
      <c r="E7" s="10"/>
      <c r="F7" s="10">
        <f t="shared" si="1"/>
        <v>0</v>
      </c>
      <c r="G7" s="11"/>
    </row>
    <row r="8" spans="1:9" x14ac:dyDescent="0.25">
      <c r="A8" s="6">
        <f t="shared" si="0"/>
        <v>7</v>
      </c>
      <c r="B8" s="16"/>
      <c r="C8" s="14"/>
      <c r="D8" s="10"/>
      <c r="E8" s="10"/>
      <c r="F8" s="14">
        <f t="shared" si="1"/>
        <v>0</v>
      </c>
      <c r="G8" s="11"/>
    </row>
    <row r="9" spans="1:9" x14ac:dyDescent="0.25">
      <c r="A9" s="6">
        <f t="shared" si="0"/>
        <v>8</v>
      </c>
      <c r="B9" s="16"/>
      <c r="C9" s="14"/>
      <c r="D9" s="10"/>
      <c r="E9" s="10"/>
      <c r="F9" s="10">
        <f t="shared" si="1"/>
        <v>0</v>
      </c>
      <c r="G9" s="11"/>
    </row>
    <row r="10" spans="1:9" x14ac:dyDescent="0.25">
      <c r="A10" s="6">
        <f t="shared" si="0"/>
        <v>9</v>
      </c>
      <c r="B10" s="16"/>
      <c r="C10" s="14"/>
      <c r="D10" s="10"/>
      <c r="E10" s="10"/>
      <c r="F10" s="10">
        <f t="shared" si="1"/>
        <v>0</v>
      </c>
      <c r="G10" s="11"/>
    </row>
    <row r="11" spans="1:9" x14ac:dyDescent="0.25">
      <c r="A11" s="6">
        <f t="shared" si="0"/>
        <v>10</v>
      </c>
      <c r="B11" s="16"/>
      <c r="C11" s="14"/>
      <c r="D11" s="17"/>
      <c r="E11" s="17"/>
      <c r="F11" s="10">
        <f t="shared" si="1"/>
        <v>0</v>
      </c>
      <c r="G11" s="11"/>
    </row>
    <row r="12" spans="1:9" x14ac:dyDescent="0.25">
      <c r="A12" s="6">
        <f t="shared" si="0"/>
        <v>11</v>
      </c>
      <c r="B12" s="16"/>
      <c r="C12" s="14"/>
      <c r="D12" s="17"/>
      <c r="E12" s="17"/>
      <c r="F12" s="10">
        <f t="shared" si="1"/>
        <v>0</v>
      </c>
      <c r="G12" s="11"/>
    </row>
    <row r="13" spans="1:9" x14ac:dyDescent="0.25">
      <c r="A13" s="6">
        <f t="shared" si="0"/>
        <v>12</v>
      </c>
      <c r="B13" s="16"/>
      <c r="C13" s="14"/>
      <c r="D13" s="17"/>
      <c r="E13" s="17"/>
      <c r="F13" s="10">
        <f t="shared" si="1"/>
        <v>0</v>
      </c>
      <c r="G13" s="11"/>
    </row>
    <row r="14" spans="1:9" x14ac:dyDescent="0.25">
      <c r="A14" s="6">
        <f t="shared" si="0"/>
        <v>13</v>
      </c>
      <c r="B14" s="16"/>
      <c r="C14" s="14"/>
      <c r="D14" s="17"/>
      <c r="E14" s="17"/>
      <c r="F14" s="10">
        <f t="shared" si="1"/>
        <v>0</v>
      </c>
      <c r="G14" s="11"/>
    </row>
    <row r="15" spans="1:9" x14ac:dyDescent="0.25">
      <c r="A15" s="6">
        <f t="shared" si="0"/>
        <v>14</v>
      </c>
      <c r="B15" s="16"/>
      <c r="C15" s="14"/>
      <c r="D15" s="17"/>
      <c r="E15" s="17"/>
      <c r="F15" s="10">
        <f t="shared" si="1"/>
        <v>0</v>
      </c>
      <c r="G15" s="11"/>
    </row>
    <row r="16" spans="1:9" x14ac:dyDescent="0.25">
      <c r="A16" s="6">
        <f t="shared" si="0"/>
        <v>15</v>
      </c>
      <c r="B16" s="16"/>
      <c r="C16" s="14"/>
      <c r="D16" s="17"/>
      <c r="E16" s="17"/>
      <c r="F16" s="10">
        <f t="shared" si="1"/>
        <v>0</v>
      </c>
      <c r="G16" s="11"/>
    </row>
    <row r="17" spans="1:7" x14ac:dyDescent="0.25">
      <c r="A17" s="6">
        <f t="shared" si="0"/>
        <v>16</v>
      </c>
      <c r="B17" s="16"/>
      <c r="C17" s="14"/>
      <c r="D17" s="17"/>
      <c r="E17" s="17"/>
      <c r="F17" s="10">
        <f t="shared" si="1"/>
        <v>0</v>
      </c>
      <c r="G17" s="11"/>
    </row>
    <row r="18" spans="1:7" x14ac:dyDescent="0.25">
      <c r="A18" s="6">
        <f t="shared" si="0"/>
        <v>17</v>
      </c>
      <c r="B18" s="16" t="s">
        <v>14</v>
      </c>
      <c r="C18" s="14"/>
      <c r="D18" s="17"/>
      <c r="E18" s="17"/>
      <c r="F18" s="10">
        <f t="shared" si="1"/>
        <v>0</v>
      </c>
      <c r="G18" s="11"/>
    </row>
    <row r="19" spans="1:7" x14ac:dyDescent="0.25">
      <c r="A19" s="6">
        <f t="shared" si="0"/>
        <v>18</v>
      </c>
      <c r="B19" s="16" t="s">
        <v>15</v>
      </c>
      <c r="C19" s="14"/>
      <c r="D19" s="17"/>
      <c r="E19" s="17"/>
      <c r="F19" s="10">
        <f t="shared" si="1"/>
        <v>0</v>
      </c>
      <c r="G19" s="11"/>
    </row>
    <row r="20" spans="1:7" x14ac:dyDescent="0.25">
      <c r="A20" s="6">
        <f t="shared" si="0"/>
        <v>19</v>
      </c>
      <c r="B20" s="16" t="s">
        <v>16</v>
      </c>
      <c r="C20" s="14"/>
      <c r="D20" s="17"/>
      <c r="E20" s="17"/>
      <c r="F20" s="10">
        <f t="shared" si="1"/>
        <v>0</v>
      </c>
      <c r="G20" s="11"/>
    </row>
    <row r="21" spans="1:7" ht="15.75" customHeight="1" thickBot="1" x14ac:dyDescent="0.3">
      <c r="A21" s="6">
        <f t="shared" si="0"/>
        <v>20</v>
      </c>
      <c r="B21" s="16" t="s">
        <v>17</v>
      </c>
      <c r="C21" s="18"/>
      <c r="D21" s="19"/>
      <c r="E21" s="17"/>
      <c r="F21" s="10">
        <f t="shared" si="1"/>
        <v>0</v>
      </c>
      <c r="G21" s="11"/>
    </row>
    <row r="22" spans="1:7" ht="15.75" customHeight="1" thickBot="1" x14ac:dyDescent="0.3">
      <c r="A22" s="20"/>
      <c r="B22" s="21" t="s">
        <v>18</v>
      </c>
      <c r="C22" s="22"/>
      <c r="D22" s="22"/>
      <c r="E22" s="23"/>
      <c r="F22" s="24">
        <f>SUM(F2:F21)</f>
        <v>0</v>
      </c>
      <c r="G22" s="25"/>
    </row>
    <row r="25" spans="1:7" ht="15.75" customHeight="1" thickBot="1" x14ac:dyDescent="0.3"/>
    <row r="26" spans="1:7" ht="15.75" customHeight="1" thickBot="1" x14ac:dyDescent="0.3">
      <c r="A26" s="26" t="s">
        <v>0</v>
      </c>
      <c r="B26" s="27" t="s">
        <v>1</v>
      </c>
      <c r="C26" s="26" t="s">
        <v>19</v>
      </c>
    </row>
    <row r="27" spans="1:7" x14ac:dyDescent="0.25">
      <c r="A27" s="28">
        <v>1</v>
      </c>
      <c r="B27" s="29"/>
      <c r="C27" s="30"/>
    </row>
    <row r="28" spans="1:7" x14ac:dyDescent="0.25">
      <c r="A28" s="28">
        <v>2</v>
      </c>
      <c r="B28" s="29"/>
      <c r="C28" s="30"/>
    </row>
    <row r="29" spans="1:7" x14ac:dyDescent="0.25">
      <c r="A29" s="28">
        <v>3</v>
      </c>
      <c r="B29" s="29"/>
      <c r="C29" s="30"/>
    </row>
    <row r="30" spans="1:7" x14ac:dyDescent="0.25">
      <c r="A30" s="28">
        <v>4</v>
      </c>
      <c r="B30" s="29"/>
      <c r="C30" s="30"/>
    </row>
    <row r="31" spans="1:7" x14ac:dyDescent="0.25">
      <c r="A31" s="28">
        <v>5</v>
      </c>
      <c r="B31" s="29"/>
      <c r="C31" s="30"/>
    </row>
    <row r="32" spans="1:7" x14ac:dyDescent="0.25">
      <c r="A32" s="28">
        <v>6</v>
      </c>
      <c r="B32" s="29"/>
      <c r="C32" s="30"/>
    </row>
    <row r="33" spans="1:3" x14ac:dyDescent="0.25">
      <c r="A33" s="28">
        <v>7</v>
      </c>
      <c r="B33" s="29"/>
      <c r="C33" s="30"/>
    </row>
    <row r="34" spans="1:3" x14ac:dyDescent="0.25">
      <c r="A34" s="28">
        <v>8</v>
      </c>
      <c r="B34" s="29"/>
      <c r="C34" s="30"/>
    </row>
    <row r="35" spans="1:3" x14ac:dyDescent="0.25">
      <c r="A35" s="28">
        <v>9</v>
      </c>
      <c r="B35" s="29"/>
      <c r="C35" s="30"/>
    </row>
    <row r="36" spans="1:3" x14ac:dyDescent="0.25">
      <c r="A36" s="28">
        <v>10</v>
      </c>
      <c r="B36" s="29"/>
      <c r="C36" s="30"/>
    </row>
    <row r="37" spans="1:3" x14ac:dyDescent="0.25">
      <c r="A37" s="28">
        <v>11</v>
      </c>
      <c r="B37" s="29"/>
      <c r="C37" s="30"/>
    </row>
    <row r="38" spans="1:3" x14ac:dyDescent="0.25">
      <c r="A38" s="28">
        <v>12</v>
      </c>
      <c r="B38" s="29"/>
      <c r="C38" s="30"/>
    </row>
    <row r="39" spans="1:3" x14ac:dyDescent="0.25">
      <c r="A39" s="28">
        <v>13</v>
      </c>
      <c r="B39" s="29"/>
      <c r="C39" s="30"/>
    </row>
    <row r="40" spans="1:3" x14ac:dyDescent="0.25">
      <c r="A40" s="28">
        <v>14</v>
      </c>
      <c r="B40" s="29"/>
      <c r="C40" s="30"/>
    </row>
    <row r="41" spans="1:3" x14ac:dyDescent="0.25">
      <c r="A41" s="28">
        <v>15</v>
      </c>
      <c r="B41" s="29"/>
      <c r="C41" s="30"/>
    </row>
    <row r="42" spans="1:3" x14ac:dyDescent="0.25">
      <c r="A42" s="28">
        <v>16</v>
      </c>
      <c r="B42" s="29"/>
      <c r="C42" s="30"/>
    </row>
    <row r="43" spans="1:3" x14ac:dyDescent="0.25">
      <c r="A43" s="28">
        <v>17</v>
      </c>
      <c r="B43" s="29"/>
      <c r="C43" s="30"/>
    </row>
    <row r="51" spans="1:3" ht="15" customHeight="1" thickBot="1" x14ac:dyDescent="0.3"/>
    <row r="52" spans="1:3" ht="15" customHeight="1" thickBot="1" x14ac:dyDescent="0.3">
      <c r="A52" s="26" t="s">
        <v>0</v>
      </c>
      <c r="B52" s="26" t="s">
        <v>1</v>
      </c>
      <c r="C52" s="26" t="s">
        <v>19</v>
      </c>
    </row>
    <row r="53" spans="1:3" x14ac:dyDescent="0.25">
      <c r="A53" s="28">
        <v>1</v>
      </c>
      <c r="B53" s="53" t="s">
        <v>34</v>
      </c>
      <c r="C53" s="30">
        <v>1.041666666666667E-2</v>
      </c>
    </row>
    <row r="54" spans="1:3" x14ac:dyDescent="0.25">
      <c r="A54" s="28">
        <v>2</v>
      </c>
      <c r="B54" s="53" t="s">
        <v>7</v>
      </c>
      <c r="C54" s="30">
        <v>1.041666666666667E-2</v>
      </c>
    </row>
    <row r="55" spans="1:3" x14ac:dyDescent="0.25">
      <c r="A55" s="28">
        <v>3</v>
      </c>
      <c r="B55" s="53" t="s">
        <v>36</v>
      </c>
      <c r="C55" s="30">
        <v>1.041666666666667E-2</v>
      </c>
    </row>
    <row r="56" spans="1:3" x14ac:dyDescent="0.25">
      <c r="A56" s="28">
        <v>4</v>
      </c>
      <c r="B56" s="53" t="s">
        <v>10</v>
      </c>
      <c r="C56" s="30">
        <v>1.041666666666667E-2</v>
      </c>
    </row>
    <row r="57" spans="1:3" x14ac:dyDescent="0.25">
      <c r="A57" s="28">
        <v>5</v>
      </c>
      <c r="B57" s="53" t="s">
        <v>69</v>
      </c>
      <c r="C57" s="30">
        <v>1.7361111111111108E-2</v>
      </c>
    </row>
    <row r="58" spans="1:3" x14ac:dyDescent="0.25">
      <c r="A58" s="28">
        <v>6</v>
      </c>
      <c r="B58" s="53" t="s">
        <v>70</v>
      </c>
      <c r="C58" s="30">
        <v>1.7361111111111108E-2</v>
      </c>
    </row>
    <row r="59" spans="1:3" x14ac:dyDescent="0.25">
      <c r="A59" s="28">
        <v>7</v>
      </c>
      <c r="B59" s="53" t="s">
        <v>207</v>
      </c>
      <c r="C59" s="30">
        <v>2.4305555555555559E-2</v>
      </c>
    </row>
    <row r="60" spans="1:3" x14ac:dyDescent="0.25">
      <c r="A60" s="28">
        <v>8</v>
      </c>
      <c r="B60" s="53" t="s">
        <v>208</v>
      </c>
      <c r="C60" s="30">
        <v>2.0833333333333329E-2</v>
      </c>
    </row>
    <row r="61" spans="1:3" x14ac:dyDescent="0.25">
      <c r="A61" s="28">
        <v>9</v>
      </c>
      <c r="B61" s="53" t="s">
        <v>209</v>
      </c>
      <c r="C61" s="30">
        <v>3.125E-2</v>
      </c>
    </row>
    <row r="62" spans="1:3" x14ac:dyDescent="0.25">
      <c r="A62" s="28">
        <v>10</v>
      </c>
      <c r="B62" s="53" t="s">
        <v>210</v>
      </c>
      <c r="C62" s="30">
        <v>2.4305555555555559E-2</v>
      </c>
    </row>
    <row r="63" spans="1:3" x14ac:dyDescent="0.25">
      <c r="A63" s="28">
        <v>11</v>
      </c>
      <c r="B63" s="53" t="s">
        <v>211</v>
      </c>
      <c r="C63" s="30">
        <v>4.1666666666666657E-2</v>
      </c>
    </row>
    <row r="64" spans="1:3" x14ac:dyDescent="0.25">
      <c r="A64" s="28">
        <v>12</v>
      </c>
      <c r="B64" s="53" t="s">
        <v>212</v>
      </c>
      <c r="C64" s="30">
        <v>6.9444444444444441E-3</v>
      </c>
    </row>
    <row r="65" spans="1:3" x14ac:dyDescent="0.25">
      <c r="A65" s="28">
        <v>13</v>
      </c>
      <c r="B65" s="53" t="s">
        <v>213</v>
      </c>
      <c r="C65" s="30">
        <v>2.4305555555555559E-2</v>
      </c>
    </row>
    <row r="66" spans="1:3" x14ac:dyDescent="0.25">
      <c r="A66" s="28">
        <v>14</v>
      </c>
      <c r="B66" s="53" t="s">
        <v>41</v>
      </c>
      <c r="C66" s="30">
        <v>3.472222222222222E-3</v>
      </c>
    </row>
    <row r="67" spans="1:3" x14ac:dyDescent="0.25">
      <c r="A67" s="28">
        <v>15</v>
      </c>
      <c r="B67" s="53" t="s">
        <v>14</v>
      </c>
      <c r="C67" s="30">
        <v>3.472222222222222E-3</v>
      </c>
    </row>
    <row r="68" spans="1:3" x14ac:dyDescent="0.25">
      <c r="A68" s="28">
        <v>16</v>
      </c>
      <c r="B68" s="53" t="s">
        <v>42</v>
      </c>
      <c r="C68" s="30">
        <v>3.125E-2</v>
      </c>
    </row>
    <row r="69" spans="1:3" x14ac:dyDescent="0.25">
      <c r="A69" s="28">
        <v>17</v>
      </c>
      <c r="B69" s="53" t="s">
        <v>15</v>
      </c>
      <c r="C69" s="30">
        <v>3.125E-2</v>
      </c>
    </row>
    <row r="70" spans="1:3" x14ac:dyDescent="0.25">
      <c r="A70" s="28">
        <v>18</v>
      </c>
      <c r="B70" s="53" t="s">
        <v>71</v>
      </c>
      <c r="C70" s="30">
        <v>6.9444444444444441E-3</v>
      </c>
    </row>
    <row r="71" spans="1:3" x14ac:dyDescent="0.25">
      <c r="A71" s="28">
        <v>19</v>
      </c>
      <c r="B71" s="53" t="s">
        <v>72</v>
      </c>
      <c r="C71" s="30">
        <v>6.9444444444444441E-3</v>
      </c>
    </row>
    <row r="72" spans="1:3" x14ac:dyDescent="0.25">
      <c r="C72" s="32">
        <f>SUM(C53:C71)</f>
        <v>0.33333333333333326</v>
      </c>
    </row>
    <row r="85" spans="2:2" x14ac:dyDescent="0.25">
      <c r="B85" t="s">
        <v>214</v>
      </c>
    </row>
    <row r="86" spans="2:2" x14ac:dyDescent="0.25">
      <c r="B86" t="s">
        <v>215</v>
      </c>
    </row>
    <row r="87" spans="2:2" x14ac:dyDescent="0.25">
      <c r="B87" t="s">
        <v>216</v>
      </c>
    </row>
    <row r="88" spans="2:2" x14ac:dyDescent="0.25">
      <c r="B88" t="s">
        <v>217</v>
      </c>
    </row>
    <row r="89" spans="2:2" x14ac:dyDescent="0.25">
      <c r="B89" t="s">
        <v>218</v>
      </c>
    </row>
    <row r="90" spans="2:2" x14ac:dyDescent="0.25">
      <c r="B90" t="s">
        <v>219</v>
      </c>
    </row>
    <row r="91" spans="2:2" x14ac:dyDescent="0.25">
      <c r="B91" t="s">
        <v>220</v>
      </c>
    </row>
    <row r="92" spans="2:2" x14ac:dyDescent="0.25">
      <c r="B92" t="s">
        <v>221</v>
      </c>
    </row>
    <row r="93" spans="2:2" x14ac:dyDescent="0.25">
      <c r="B93" t="s">
        <v>222</v>
      </c>
    </row>
    <row r="94" spans="2:2" x14ac:dyDescent="0.25">
      <c r="B94" t="s">
        <v>223</v>
      </c>
    </row>
    <row r="95" spans="2:2" x14ac:dyDescent="0.25">
      <c r="B95" t="s">
        <v>224</v>
      </c>
    </row>
    <row r="96" spans="2:2" x14ac:dyDescent="0.25">
      <c r="B96" t="s">
        <v>225</v>
      </c>
    </row>
    <row r="97" spans="1:2" x14ac:dyDescent="0.25">
      <c r="B97" t="s">
        <v>226</v>
      </c>
    </row>
    <row r="98" spans="1:2" x14ac:dyDescent="0.25">
      <c r="B98" t="s">
        <v>227</v>
      </c>
    </row>
    <row r="99" spans="1:2" x14ac:dyDescent="0.25">
      <c r="B99" t="s">
        <v>228</v>
      </c>
    </row>
    <row r="100" spans="1:2" x14ac:dyDescent="0.25">
      <c r="B100" t="s">
        <v>229</v>
      </c>
    </row>
    <row r="101" spans="1:2" x14ac:dyDescent="0.25">
      <c r="B101" t="s">
        <v>230</v>
      </c>
    </row>
    <row r="102" spans="1:2" x14ac:dyDescent="0.25">
      <c r="B102" t="s">
        <v>231</v>
      </c>
    </row>
    <row r="103" spans="1:2" x14ac:dyDescent="0.25">
      <c r="B103" t="s">
        <v>232</v>
      </c>
    </row>
    <row r="108" spans="1:2" x14ac:dyDescent="0.25">
      <c r="A108">
        <v>1</v>
      </c>
      <c r="B108" t="s">
        <v>233</v>
      </c>
    </row>
    <row r="109" spans="1:2" x14ac:dyDescent="0.25">
      <c r="A109">
        <v>2</v>
      </c>
      <c r="B109" t="s">
        <v>234</v>
      </c>
    </row>
    <row r="110" spans="1:2" x14ac:dyDescent="0.25">
      <c r="A110">
        <v>3</v>
      </c>
      <c r="B110" t="s">
        <v>235</v>
      </c>
    </row>
    <row r="111" spans="1:2" x14ac:dyDescent="0.25">
      <c r="A111">
        <v>4</v>
      </c>
      <c r="B111" t="s">
        <v>236</v>
      </c>
    </row>
    <row r="112" spans="1:2" x14ac:dyDescent="0.25">
      <c r="A112">
        <v>5</v>
      </c>
      <c r="B112" t="s">
        <v>209</v>
      </c>
    </row>
    <row r="113" spans="1:2" x14ac:dyDescent="0.25">
      <c r="A113">
        <v>6</v>
      </c>
      <c r="B113" t="s">
        <v>237</v>
      </c>
    </row>
    <row r="114" spans="1:2" x14ac:dyDescent="0.25">
      <c r="A114">
        <v>7</v>
      </c>
      <c r="B114" t="s">
        <v>238</v>
      </c>
    </row>
    <row r="124" spans="1:2" x14ac:dyDescent="0.25">
      <c r="A124">
        <v>1</v>
      </c>
      <c r="B124" t="s">
        <v>236</v>
      </c>
    </row>
    <row r="125" spans="1:2" x14ac:dyDescent="0.25">
      <c r="A125">
        <v>2</v>
      </c>
      <c r="B125" t="s">
        <v>209</v>
      </c>
    </row>
    <row r="126" spans="1:2" x14ac:dyDescent="0.25">
      <c r="A126">
        <v>3</v>
      </c>
      <c r="B126" t="s">
        <v>237</v>
      </c>
    </row>
    <row r="129" spans="1:2" x14ac:dyDescent="0.25">
      <c r="B129" s="36"/>
    </row>
    <row r="130" spans="1:2" x14ac:dyDescent="0.25">
      <c r="A130">
        <v>1</v>
      </c>
      <c r="B130" t="s">
        <v>207</v>
      </c>
    </row>
    <row r="131" spans="1:2" x14ac:dyDescent="0.25">
      <c r="A131">
        <v>2</v>
      </c>
      <c r="B131" t="s">
        <v>208</v>
      </c>
    </row>
    <row r="132" spans="1:2" x14ac:dyDescent="0.25">
      <c r="A132">
        <v>3</v>
      </c>
      <c r="B132" t="s">
        <v>209</v>
      </c>
    </row>
    <row r="133" spans="1:2" x14ac:dyDescent="0.25">
      <c r="A133">
        <v>4</v>
      </c>
      <c r="B133" t="s">
        <v>210</v>
      </c>
    </row>
    <row r="134" spans="1:2" x14ac:dyDescent="0.25">
      <c r="A134">
        <v>5</v>
      </c>
      <c r="B134" t="s">
        <v>211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92"/>
  <sheetViews>
    <sheetView topLeftCell="A64" workbookViewId="0">
      <selection activeCell="A87" sqref="A87:B92"/>
    </sheetView>
  </sheetViews>
  <sheetFormatPr defaultRowHeight="15" x14ac:dyDescent="0.25"/>
  <cols>
    <col min="1" max="1" width="6.7109375" bestFit="1" customWidth="1"/>
    <col min="2" max="2" width="56.7109375" customWidth="1"/>
    <col min="3" max="3" width="9.5703125" bestFit="1" customWidth="1"/>
    <col min="4" max="4" width="8.7109375" bestFit="1" customWidth="1"/>
    <col min="5" max="5" width="12.42578125" bestFit="1" customWidth="1"/>
    <col min="6" max="6" width="10.85546875" bestFit="1" customWidth="1"/>
    <col min="7" max="7" width="6.7109375" bestFit="1" customWidth="1"/>
  </cols>
  <sheetData>
    <row r="1" spans="1:9" ht="15.75" customHeight="1" thickBot="1" x14ac:dyDescent="0.3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2" t="s">
        <v>6</v>
      </c>
    </row>
    <row r="2" spans="1:9" x14ac:dyDescent="0.25">
      <c r="A2" s="6">
        <f t="shared" ref="A2:A21" si="0">ROW() - ROW($A$1)</f>
        <v>1</v>
      </c>
      <c r="B2" s="7" t="s">
        <v>7</v>
      </c>
      <c r="C2" s="8"/>
      <c r="D2" s="9"/>
      <c r="E2" s="9">
        <v>1.388888888888889E-2</v>
      </c>
      <c r="F2" s="10">
        <f t="shared" ref="F2:F21" si="1">D2-C2</f>
        <v>0</v>
      </c>
      <c r="G2" s="11"/>
      <c r="I2" s="12" t="s">
        <v>8</v>
      </c>
    </row>
    <row r="3" spans="1:9" x14ac:dyDescent="0.25">
      <c r="A3" s="6">
        <f t="shared" si="0"/>
        <v>2</v>
      </c>
      <c r="B3" s="13" t="s">
        <v>9</v>
      </c>
      <c r="C3" s="14"/>
      <c r="D3" s="10"/>
      <c r="E3" s="10">
        <v>1.7361111111111108E-2</v>
      </c>
      <c r="F3" s="10">
        <f t="shared" si="1"/>
        <v>0</v>
      </c>
      <c r="G3" s="11"/>
    </row>
    <row r="4" spans="1:9" x14ac:dyDescent="0.25">
      <c r="A4" s="6">
        <f t="shared" si="0"/>
        <v>3</v>
      </c>
      <c r="B4" s="15" t="s">
        <v>10</v>
      </c>
      <c r="C4" s="14"/>
      <c r="D4" s="10"/>
      <c r="E4" s="10">
        <v>6.9444444444444441E-3</v>
      </c>
      <c r="F4" s="10">
        <f t="shared" si="1"/>
        <v>0</v>
      </c>
      <c r="G4" s="11"/>
    </row>
    <row r="5" spans="1:9" x14ac:dyDescent="0.25">
      <c r="A5" s="6">
        <f t="shared" si="0"/>
        <v>4</v>
      </c>
      <c r="B5" s="13" t="s">
        <v>11</v>
      </c>
      <c r="C5" s="14"/>
      <c r="D5" s="10"/>
      <c r="E5" s="10">
        <v>4.1666666666666657E-2</v>
      </c>
      <c r="F5" s="10">
        <f t="shared" si="1"/>
        <v>0</v>
      </c>
      <c r="G5" s="11"/>
    </row>
    <row r="6" spans="1:9" x14ac:dyDescent="0.25">
      <c r="A6" s="6">
        <f t="shared" si="0"/>
        <v>5</v>
      </c>
      <c r="B6" s="16" t="s">
        <v>12</v>
      </c>
      <c r="C6" s="14"/>
      <c r="D6" s="10"/>
      <c r="E6" s="10"/>
      <c r="F6" s="10">
        <f t="shared" si="1"/>
        <v>0</v>
      </c>
      <c r="G6" s="11"/>
    </row>
    <row r="7" spans="1:9" x14ac:dyDescent="0.25">
      <c r="A7" s="6">
        <f t="shared" si="0"/>
        <v>6</v>
      </c>
      <c r="B7" s="13" t="s">
        <v>13</v>
      </c>
      <c r="C7" s="14"/>
      <c r="D7" s="10"/>
      <c r="E7" s="10"/>
      <c r="F7" s="10">
        <f t="shared" si="1"/>
        <v>0</v>
      </c>
      <c r="G7" s="11"/>
    </row>
    <row r="8" spans="1:9" x14ac:dyDescent="0.25">
      <c r="A8" s="6">
        <f t="shared" si="0"/>
        <v>7</v>
      </c>
      <c r="B8" s="16"/>
      <c r="C8" s="14"/>
      <c r="D8" s="10"/>
      <c r="E8" s="10"/>
      <c r="F8" s="14">
        <f t="shared" si="1"/>
        <v>0</v>
      </c>
      <c r="G8" s="11"/>
    </row>
    <row r="9" spans="1:9" x14ac:dyDescent="0.25">
      <c r="A9" s="6">
        <f t="shared" si="0"/>
        <v>8</v>
      </c>
      <c r="B9" s="16"/>
      <c r="C9" s="14"/>
      <c r="D9" s="10"/>
      <c r="E9" s="10"/>
      <c r="F9" s="10">
        <f t="shared" si="1"/>
        <v>0</v>
      </c>
      <c r="G9" s="11"/>
    </row>
    <row r="10" spans="1:9" x14ac:dyDescent="0.25">
      <c r="A10" s="6">
        <f t="shared" si="0"/>
        <v>9</v>
      </c>
      <c r="B10" s="16"/>
      <c r="C10" s="14"/>
      <c r="D10" s="10"/>
      <c r="E10" s="10"/>
      <c r="F10" s="10">
        <f t="shared" si="1"/>
        <v>0</v>
      </c>
      <c r="G10" s="11"/>
    </row>
    <row r="11" spans="1:9" x14ac:dyDescent="0.25">
      <c r="A11" s="6">
        <f t="shared" si="0"/>
        <v>10</v>
      </c>
      <c r="B11" s="16"/>
      <c r="C11" s="14"/>
      <c r="D11" s="17"/>
      <c r="E11" s="17"/>
      <c r="F11" s="10">
        <f t="shared" si="1"/>
        <v>0</v>
      </c>
      <c r="G11" s="11"/>
    </row>
    <row r="12" spans="1:9" x14ac:dyDescent="0.25">
      <c r="A12" s="6">
        <f t="shared" si="0"/>
        <v>11</v>
      </c>
      <c r="B12" s="16"/>
      <c r="C12" s="14"/>
      <c r="D12" s="17"/>
      <c r="E12" s="17"/>
      <c r="F12" s="10">
        <f t="shared" si="1"/>
        <v>0</v>
      </c>
      <c r="G12" s="11"/>
    </row>
    <row r="13" spans="1:9" x14ac:dyDescent="0.25">
      <c r="A13" s="6">
        <f t="shared" si="0"/>
        <v>12</v>
      </c>
      <c r="B13" s="16"/>
      <c r="C13" s="14"/>
      <c r="D13" s="17"/>
      <c r="E13" s="17"/>
      <c r="F13" s="10">
        <f t="shared" si="1"/>
        <v>0</v>
      </c>
      <c r="G13" s="11"/>
    </row>
    <row r="14" spans="1:9" x14ac:dyDescent="0.25">
      <c r="A14" s="6">
        <f t="shared" si="0"/>
        <v>13</v>
      </c>
      <c r="B14" s="16"/>
      <c r="C14" s="14"/>
      <c r="D14" s="17"/>
      <c r="E14" s="17"/>
      <c r="F14" s="10">
        <f t="shared" si="1"/>
        <v>0</v>
      </c>
      <c r="G14" s="11"/>
    </row>
    <row r="15" spans="1:9" x14ac:dyDescent="0.25">
      <c r="A15" s="6">
        <f t="shared" si="0"/>
        <v>14</v>
      </c>
      <c r="B15" s="16"/>
      <c r="C15" s="14"/>
      <c r="D15" s="17"/>
      <c r="E15" s="17"/>
      <c r="F15" s="10">
        <f t="shared" si="1"/>
        <v>0</v>
      </c>
      <c r="G15" s="11"/>
    </row>
    <row r="16" spans="1:9" x14ac:dyDescent="0.25">
      <c r="A16" s="6">
        <f t="shared" si="0"/>
        <v>15</v>
      </c>
      <c r="B16" s="16"/>
      <c r="C16" s="14"/>
      <c r="D16" s="17"/>
      <c r="E16" s="17"/>
      <c r="F16" s="10">
        <f t="shared" si="1"/>
        <v>0</v>
      </c>
      <c r="G16" s="11"/>
    </row>
    <row r="17" spans="1:7" x14ac:dyDescent="0.25">
      <c r="A17" s="6">
        <f t="shared" si="0"/>
        <v>16</v>
      </c>
      <c r="B17" s="16"/>
      <c r="C17" s="14"/>
      <c r="D17" s="17"/>
      <c r="E17" s="17"/>
      <c r="F17" s="10">
        <f t="shared" si="1"/>
        <v>0</v>
      </c>
      <c r="G17" s="11"/>
    </row>
    <row r="18" spans="1:7" x14ac:dyDescent="0.25">
      <c r="A18" s="6">
        <f t="shared" si="0"/>
        <v>17</v>
      </c>
      <c r="B18" s="16" t="s">
        <v>14</v>
      </c>
      <c r="C18" s="14"/>
      <c r="D18" s="17"/>
      <c r="E18" s="17"/>
      <c r="F18" s="10">
        <f t="shared" si="1"/>
        <v>0</v>
      </c>
      <c r="G18" s="11"/>
    </row>
    <row r="19" spans="1:7" x14ac:dyDescent="0.25">
      <c r="A19" s="6">
        <f t="shared" si="0"/>
        <v>18</v>
      </c>
      <c r="B19" s="16" t="s">
        <v>15</v>
      </c>
      <c r="C19" s="14"/>
      <c r="D19" s="17"/>
      <c r="E19" s="17"/>
      <c r="F19" s="10">
        <f t="shared" si="1"/>
        <v>0</v>
      </c>
      <c r="G19" s="11"/>
    </row>
    <row r="20" spans="1:7" x14ac:dyDescent="0.25">
      <c r="A20" s="6">
        <f t="shared" si="0"/>
        <v>19</v>
      </c>
      <c r="B20" s="16" t="s">
        <v>16</v>
      </c>
      <c r="C20" s="14"/>
      <c r="D20" s="17"/>
      <c r="E20" s="17"/>
      <c r="F20" s="10">
        <f t="shared" si="1"/>
        <v>0</v>
      </c>
      <c r="G20" s="11"/>
    </row>
    <row r="21" spans="1:7" ht="15.75" customHeight="1" thickBot="1" x14ac:dyDescent="0.3">
      <c r="A21" s="6">
        <f t="shared" si="0"/>
        <v>20</v>
      </c>
      <c r="B21" s="16" t="s">
        <v>17</v>
      </c>
      <c r="C21" s="18"/>
      <c r="D21" s="19"/>
      <c r="E21" s="17"/>
      <c r="F21" s="10">
        <f t="shared" si="1"/>
        <v>0</v>
      </c>
      <c r="G21" s="11"/>
    </row>
    <row r="22" spans="1:7" ht="15.75" customHeight="1" thickBot="1" x14ac:dyDescent="0.3">
      <c r="A22" s="20"/>
      <c r="B22" s="21" t="s">
        <v>18</v>
      </c>
      <c r="C22" s="22"/>
      <c r="D22" s="22"/>
      <c r="E22" s="23"/>
      <c r="F22" s="24">
        <f>SUM(F2:F21)</f>
        <v>0</v>
      </c>
      <c r="G22" s="25"/>
    </row>
    <row r="25" spans="1:7" ht="15.75" customHeight="1" thickBot="1" x14ac:dyDescent="0.3"/>
    <row r="26" spans="1:7" ht="15.75" customHeight="1" thickBot="1" x14ac:dyDescent="0.3">
      <c r="A26" s="26" t="s">
        <v>0</v>
      </c>
      <c r="B26" s="27" t="s">
        <v>1</v>
      </c>
      <c r="C26" s="26" t="s">
        <v>19</v>
      </c>
    </row>
    <row r="27" spans="1:7" x14ac:dyDescent="0.25">
      <c r="A27" s="28">
        <v>1</v>
      </c>
      <c r="B27" s="29"/>
      <c r="C27" s="30"/>
    </row>
    <row r="28" spans="1:7" x14ac:dyDescent="0.25">
      <c r="A28" s="28">
        <v>2</v>
      </c>
      <c r="B28" s="29"/>
      <c r="C28" s="30"/>
    </row>
    <row r="29" spans="1:7" x14ac:dyDescent="0.25">
      <c r="A29" s="28">
        <v>3</v>
      </c>
      <c r="B29" s="29"/>
      <c r="C29" s="30"/>
    </row>
    <row r="30" spans="1:7" x14ac:dyDescent="0.25">
      <c r="A30" s="28">
        <v>4</v>
      </c>
      <c r="B30" s="29"/>
      <c r="C30" s="30"/>
    </row>
    <row r="31" spans="1:7" x14ac:dyDescent="0.25">
      <c r="A31" s="28">
        <v>5</v>
      </c>
      <c r="B31" s="29"/>
      <c r="C31" s="30"/>
    </row>
    <row r="32" spans="1:7" x14ac:dyDescent="0.25">
      <c r="A32" s="28">
        <v>6</v>
      </c>
      <c r="B32" s="29"/>
      <c r="C32" s="30"/>
    </row>
    <row r="33" spans="1:3" x14ac:dyDescent="0.25">
      <c r="A33" s="28">
        <v>7</v>
      </c>
      <c r="B33" s="29"/>
      <c r="C33" s="30"/>
    </row>
    <row r="34" spans="1:3" x14ac:dyDescent="0.25">
      <c r="A34" s="28">
        <v>8</v>
      </c>
      <c r="B34" s="29"/>
      <c r="C34" s="30"/>
    </row>
    <row r="35" spans="1:3" x14ac:dyDescent="0.25">
      <c r="A35" s="28">
        <v>9</v>
      </c>
      <c r="B35" s="29"/>
      <c r="C35" s="30"/>
    </row>
    <row r="36" spans="1:3" x14ac:dyDescent="0.25">
      <c r="A36" s="28">
        <v>10</v>
      </c>
      <c r="B36" s="29"/>
      <c r="C36" s="30"/>
    </row>
    <row r="37" spans="1:3" x14ac:dyDescent="0.25">
      <c r="A37" s="28">
        <v>11</v>
      </c>
      <c r="B37" s="29"/>
      <c r="C37" s="30"/>
    </row>
    <row r="38" spans="1:3" x14ac:dyDescent="0.25">
      <c r="A38" s="28">
        <v>12</v>
      </c>
      <c r="B38" s="29"/>
      <c r="C38" s="30"/>
    </row>
    <row r="39" spans="1:3" x14ac:dyDescent="0.25">
      <c r="A39" s="28">
        <v>13</v>
      </c>
      <c r="B39" s="29"/>
      <c r="C39" s="30"/>
    </row>
    <row r="40" spans="1:3" x14ac:dyDescent="0.25">
      <c r="A40" s="28">
        <v>14</v>
      </c>
      <c r="B40" s="29"/>
      <c r="C40" s="30"/>
    </row>
    <row r="41" spans="1:3" x14ac:dyDescent="0.25">
      <c r="A41" s="28">
        <v>15</v>
      </c>
      <c r="B41" s="29"/>
      <c r="C41" s="30"/>
    </row>
    <row r="42" spans="1:3" x14ac:dyDescent="0.25">
      <c r="A42" s="28">
        <v>16</v>
      </c>
      <c r="B42" s="29"/>
      <c r="C42" s="30"/>
    </row>
    <row r="43" spans="1:3" x14ac:dyDescent="0.25">
      <c r="A43" s="28">
        <v>17</v>
      </c>
      <c r="B43" s="29"/>
      <c r="C43" s="30"/>
    </row>
    <row r="52" spans="1:9" x14ac:dyDescent="0.25">
      <c r="A52" s="62" t="s">
        <v>239</v>
      </c>
      <c r="B52" s="62" t="s">
        <v>240</v>
      </c>
      <c r="C52" s="60" t="s">
        <v>241</v>
      </c>
      <c r="D52" s="60" t="s">
        <v>242</v>
      </c>
      <c r="E52" s="60" t="s">
        <v>243</v>
      </c>
      <c r="F52" s="60" t="s">
        <v>91</v>
      </c>
      <c r="G52" s="61" t="s">
        <v>147</v>
      </c>
      <c r="H52" s="61" t="s">
        <v>148</v>
      </c>
      <c r="I52" s="60" t="s">
        <v>244</v>
      </c>
    </row>
    <row r="53" spans="1:9" x14ac:dyDescent="0.25">
      <c r="A53" s="62" t="s">
        <v>245</v>
      </c>
      <c r="B53" s="62" t="s">
        <v>246</v>
      </c>
      <c r="C53" s="61" t="s">
        <v>241</v>
      </c>
      <c r="D53" s="61" t="s">
        <v>247</v>
      </c>
      <c r="E53" s="61" t="s">
        <v>243</v>
      </c>
      <c r="F53" s="61" t="s">
        <v>91</v>
      </c>
      <c r="G53" s="61" t="s">
        <v>147</v>
      </c>
      <c r="H53" s="61" t="s">
        <v>148</v>
      </c>
      <c r="I53" s="61" t="s">
        <v>248</v>
      </c>
    </row>
    <row r="54" spans="1:9" x14ac:dyDescent="0.25">
      <c r="A54" s="62" t="s">
        <v>249</v>
      </c>
      <c r="B54" s="62" t="s">
        <v>181</v>
      </c>
      <c r="C54" s="61" t="s">
        <v>241</v>
      </c>
      <c r="D54" s="64"/>
      <c r="E54" s="61" t="s">
        <v>243</v>
      </c>
      <c r="F54" s="61" t="s">
        <v>91</v>
      </c>
      <c r="G54" s="61" t="s">
        <v>250</v>
      </c>
      <c r="H54" s="61" t="s">
        <v>251</v>
      </c>
      <c r="I54" s="61" t="s">
        <v>252</v>
      </c>
    </row>
    <row r="55" spans="1:9" x14ac:dyDescent="0.25">
      <c r="A55" s="62" t="s">
        <v>249</v>
      </c>
      <c r="B55" s="62" t="s">
        <v>253</v>
      </c>
      <c r="C55" s="61" t="s">
        <v>241</v>
      </c>
      <c r="D55" s="64"/>
      <c r="E55" s="61" t="s">
        <v>243</v>
      </c>
      <c r="F55" s="61" t="s">
        <v>91</v>
      </c>
      <c r="G55" s="61" t="s">
        <v>147</v>
      </c>
      <c r="H55" s="61" t="s">
        <v>148</v>
      </c>
      <c r="I55" s="61" t="s">
        <v>248</v>
      </c>
    </row>
    <row r="56" spans="1:9" x14ac:dyDescent="0.25">
      <c r="A56" s="62" t="s">
        <v>249</v>
      </c>
      <c r="B56" s="62" t="s">
        <v>254</v>
      </c>
      <c r="C56" s="61" t="s">
        <v>241</v>
      </c>
      <c r="D56" s="64"/>
      <c r="E56" s="61" t="s">
        <v>243</v>
      </c>
      <c r="F56" s="61" t="s">
        <v>91</v>
      </c>
      <c r="G56" s="61" t="s">
        <v>147</v>
      </c>
      <c r="H56" s="61" t="s">
        <v>148</v>
      </c>
      <c r="I56" s="61" t="s">
        <v>248</v>
      </c>
    </row>
    <row r="57" spans="1:9" x14ac:dyDescent="0.25">
      <c r="A57" s="62" t="s">
        <v>245</v>
      </c>
      <c r="B57" s="62" t="s">
        <v>255</v>
      </c>
      <c r="C57" s="61" t="s">
        <v>241</v>
      </c>
      <c r="D57" s="64"/>
      <c r="E57" s="61" t="s">
        <v>243</v>
      </c>
      <c r="F57" s="61" t="s">
        <v>91</v>
      </c>
      <c r="G57" s="61" t="s">
        <v>147</v>
      </c>
      <c r="H57" s="61" t="s">
        <v>148</v>
      </c>
      <c r="I57" s="61" t="s">
        <v>248</v>
      </c>
    </row>
    <row r="58" spans="1:9" x14ac:dyDescent="0.25">
      <c r="A58" s="62" t="s">
        <v>256</v>
      </c>
      <c r="B58" s="62" t="s">
        <v>257</v>
      </c>
      <c r="C58" s="61" t="s">
        <v>241</v>
      </c>
      <c r="D58" s="61" t="s">
        <v>242</v>
      </c>
      <c r="E58" s="61" t="s">
        <v>243</v>
      </c>
      <c r="F58" s="61" t="s">
        <v>91</v>
      </c>
      <c r="G58" s="61" t="s">
        <v>250</v>
      </c>
      <c r="H58" s="61" t="s">
        <v>251</v>
      </c>
      <c r="I58" s="61" t="s">
        <v>252</v>
      </c>
    </row>
    <row r="59" spans="1:9" x14ac:dyDescent="0.25">
      <c r="A59" s="62" t="s">
        <v>258</v>
      </c>
      <c r="B59" s="62" t="s">
        <v>259</v>
      </c>
      <c r="C59" s="62" t="s">
        <v>241</v>
      </c>
      <c r="D59" s="62"/>
      <c r="E59" s="62" t="s">
        <v>243</v>
      </c>
      <c r="F59" s="62" t="s">
        <v>91</v>
      </c>
      <c r="G59" s="62" t="s">
        <v>147</v>
      </c>
      <c r="H59" s="62" t="s">
        <v>260</v>
      </c>
      <c r="I59" s="62" t="s">
        <v>261</v>
      </c>
    </row>
    <row r="60" spans="1:9" x14ac:dyDescent="0.25">
      <c r="A60" s="62" t="s">
        <v>262</v>
      </c>
      <c r="B60" s="62" t="s">
        <v>263</v>
      </c>
      <c r="C60" s="62" t="s">
        <v>241</v>
      </c>
      <c r="D60" s="62"/>
      <c r="E60" s="62" t="s">
        <v>243</v>
      </c>
      <c r="F60" s="62" t="s">
        <v>91</v>
      </c>
      <c r="G60" s="61" t="s">
        <v>147</v>
      </c>
      <c r="H60" s="61" t="s">
        <v>260</v>
      </c>
      <c r="I60" s="61" t="s">
        <v>264</v>
      </c>
    </row>
    <row r="61" spans="1:9" x14ac:dyDescent="0.25">
      <c r="A61" s="62" t="s">
        <v>262</v>
      </c>
      <c r="B61" s="62" t="s">
        <v>265</v>
      </c>
      <c r="C61" s="62" t="s">
        <v>241</v>
      </c>
      <c r="D61" s="62"/>
      <c r="E61" s="62" t="s">
        <v>243</v>
      </c>
      <c r="F61" s="62" t="s">
        <v>91</v>
      </c>
      <c r="G61" s="62" t="s">
        <v>147</v>
      </c>
      <c r="H61" s="62" t="s">
        <v>260</v>
      </c>
      <c r="I61" s="62" t="s">
        <v>264</v>
      </c>
    </row>
    <row r="62" spans="1:9" x14ac:dyDescent="0.25">
      <c r="A62" s="62" t="s">
        <v>262</v>
      </c>
      <c r="B62" s="62" t="s">
        <v>266</v>
      </c>
      <c r="C62" s="62" t="s">
        <v>241</v>
      </c>
      <c r="D62" s="62"/>
      <c r="E62" s="62" t="s">
        <v>243</v>
      </c>
      <c r="F62" s="62" t="s">
        <v>91</v>
      </c>
      <c r="G62" s="62" t="s">
        <v>147</v>
      </c>
      <c r="H62" s="62" t="s">
        <v>260</v>
      </c>
      <c r="I62" s="62" t="s">
        <v>264</v>
      </c>
    </row>
    <row r="63" spans="1:9" x14ac:dyDescent="0.25">
      <c r="A63" s="62" t="s">
        <v>262</v>
      </c>
      <c r="B63" s="62" t="s">
        <v>267</v>
      </c>
      <c r="C63" s="62" t="s">
        <v>241</v>
      </c>
      <c r="D63" s="62"/>
      <c r="E63" s="62" t="s">
        <v>243</v>
      </c>
      <c r="F63" s="62" t="s">
        <v>91</v>
      </c>
      <c r="G63" s="62" t="s">
        <v>147</v>
      </c>
      <c r="H63" s="62" t="s">
        <v>260</v>
      </c>
      <c r="I63" s="62" t="s">
        <v>264</v>
      </c>
    </row>
    <row r="64" spans="1:9" x14ac:dyDescent="0.25">
      <c r="A64" s="62" t="s">
        <v>262</v>
      </c>
      <c r="B64" s="62" t="s">
        <v>268</v>
      </c>
      <c r="C64" s="62" t="s">
        <v>241</v>
      </c>
      <c r="D64" s="62"/>
      <c r="E64" s="62" t="s">
        <v>243</v>
      </c>
      <c r="F64" s="62" t="s">
        <v>91</v>
      </c>
      <c r="G64" s="62" t="s">
        <v>147</v>
      </c>
      <c r="H64" s="62" t="s">
        <v>260</v>
      </c>
      <c r="I64" s="62" t="s">
        <v>264</v>
      </c>
    </row>
    <row r="65" spans="1:9" x14ac:dyDescent="0.25">
      <c r="A65" s="62" t="s">
        <v>269</v>
      </c>
      <c r="B65" s="62" t="s">
        <v>270</v>
      </c>
      <c r="C65" s="62" t="s">
        <v>241</v>
      </c>
      <c r="D65" s="62"/>
      <c r="E65" s="62" t="s">
        <v>243</v>
      </c>
      <c r="F65" s="62" t="s">
        <v>91</v>
      </c>
      <c r="G65" s="62" t="s">
        <v>147</v>
      </c>
      <c r="H65" s="62" t="s">
        <v>260</v>
      </c>
      <c r="I65" s="62" t="s">
        <v>271</v>
      </c>
    </row>
    <row r="76" spans="1:9" x14ac:dyDescent="0.25">
      <c r="B76" s="52" t="s">
        <v>272</v>
      </c>
    </row>
    <row r="77" spans="1:9" x14ac:dyDescent="0.25">
      <c r="B77" s="52" t="s">
        <v>273</v>
      </c>
    </row>
    <row r="78" spans="1:9" x14ac:dyDescent="0.25">
      <c r="B78" s="52" t="s">
        <v>274</v>
      </c>
    </row>
    <row r="79" spans="1:9" x14ac:dyDescent="0.25">
      <c r="B79" s="52" t="s">
        <v>275</v>
      </c>
    </row>
    <row r="80" spans="1:9" x14ac:dyDescent="0.25">
      <c r="B80" s="52" t="s">
        <v>276</v>
      </c>
    </row>
    <row r="81" spans="1:2" x14ac:dyDescent="0.25">
      <c r="B81" s="52" t="s">
        <v>277</v>
      </c>
    </row>
    <row r="82" spans="1:2" x14ac:dyDescent="0.25">
      <c r="B82" s="52" t="s">
        <v>278</v>
      </c>
    </row>
    <row r="83" spans="1:2" x14ac:dyDescent="0.25">
      <c r="B83" s="52" t="s">
        <v>279</v>
      </c>
    </row>
    <row r="87" spans="1:2" x14ac:dyDescent="0.25">
      <c r="A87">
        <v>1</v>
      </c>
      <c r="B87" s="52" t="s">
        <v>280</v>
      </c>
    </row>
    <row r="88" spans="1:2" x14ac:dyDescent="0.25">
      <c r="A88">
        <v>2</v>
      </c>
      <c r="B88" s="52" t="s">
        <v>281</v>
      </c>
    </row>
    <row r="89" spans="1:2" x14ac:dyDescent="0.25">
      <c r="A89">
        <v>3</v>
      </c>
      <c r="B89" s="52" t="s">
        <v>282</v>
      </c>
    </row>
    <row r="90" spans="1:2" x14ac:dyDescent="0.25">
      <c r="A90">
        <v>4</v>
      </c>
      <c r="B90" s="52" t="s">
        <v>283</v>
      </c>
    </row>
    <row r="91" spans="1:2" x14ac:dyDescent="0.25">
      <c r="A91">
        <v>5</v>
      </c>
      <c r="B91" s="52" t="s">
        <v>284</v>
      </c>
    </row>
    <row r="92" spans="1:2" x14ac:dyDescent="0.25">
      <c r="A92">
        <v>6</v>
      </c>
      <c r="B92" s="52" t="s">
        <v>238</v>
      </c>
    </row>
  </sheetData>
  <conditionalFormatting sqref="B52:B56">
    <cfRule type="duplicateValues" dxfId="18" priority="10"/>
    <cfRule type="duplicateValues" dxfId="17" priority="11"/>
    <cfRule type="duplicateValues" dxfId="16" priority="12"/>
  </conditionalFormatting>
  <conditionalFormatting sqref="B52:B58">
    <cfRule type="duplicateValues" dxfId="15" priority="13"/>
  </conditionalFormatting>
  <conditionalFormatting sqref="B52:B65">
    <cfRule type="duplicateValues" dxfId="14" priority="9"/>
  </conditionalFormatting>
  <conditionalFormatting sqref="B57">
    <cfRule type="duplicateValues" dxfId="13" priority="1"/>
    <cfRule type="duplicateValues" dxfId="12" priority="2"/>
    <cfRule type="duplicateValues" dxfId="11" priority="3"/>
    <cfRule type="duplicateValues" dxfId="10" priority="4"/>
    <cfRule type="duplicateValues" dxfId="9" priority="5"/>
    <cfRule type="duplicateValues" dxfId="8" priority="6"/>
    <cfRule type="duplicateValues" dxfId="7" priority="7"/>
    <cfRule type="duplicateValues" dxfId="6" priority="8"/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59"/>
  <sheetViews>
    <sheetView topLeftCell="A39" workbookViewId="0">
      <selection activeCell="B52" sqref="B52:B57"/>
    </sheetView>
  </sheetViews>
  <sheetFormatPr defaultRowHeight="15" x14ac:dyDescent="0.25"/>
  <cols>
    <col min="1" max="1" width="6.7109375" bestFit="1" customWidth="1"/>
    <col min="2" max="2" width="56.7109375" customWidth="1"/>
    <col min="3" max="3" width="9.5703125" bestFit="1" customWidth="1"/>
    <col min="4" max="4" width="8.7109375" bestFit="1" customWidth="1"/>
    <col min="5" max="5" width="12.42578125" bestFit="1" customWidth="1"/>
    <col min="6" max="6" width="10.85546875" bestFit="1" customWidth="1"/>
    <col min="7" max="7" width="6.7109375" bestFit="1" customWidth="1"/>
  </cols>
  <sheetData>
    <row r="1" spans="1:9" ht="15.75" customHeight="1" thickBot="1" x14ac:dyDescent="0.3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2" t="s">
        <v>6</v>
      </c>
    </row>
    <row r="2" spans="1:9" x14ac:dyDescent="0.25">
      <c r="A2" s="6">
        <f t="shared" ref="A2:A21" si="0">ROW() - ROW($A$1)</f>
        <v>1</v>
      </c>
      <c r="B2" s="7" t="s">
        <v>7</v>
      </c>
      <c r="C2" s="8"/>
      <c r="D2" s="9"/>
      <c r="E2" s="9">
        <v>1.388888888888889E-2</v>
      </c>
      <c r="F2" s="10">
        <f t="shared" ref="F2:F21" si="1">D2-C2</f>
        <v>0</v>
      </c>
      <c r="G2" s="11"/>
      <c r="I2" s="12" t="s">
        <v>8</v>
      </c>
    </row>
    <row r="3" spans="1:9" x14ac:dyDescent="0.25">
      <c r="A3" s="6">
        <f t="shared" si="0"/>
        <v>2</v>
      </c>
      <c r="B3" s="13" t="s">
        <v>9</v>
      </c>
      <c r="C3" s="14"/>
      <c r="D3" s="10"/>
      <c r="E3" s="10">
        <v>1.7361111111111108E-2</v>
      </c>
      <c r="F3" s="10">
        <f t="shared" si="1"/>
        <v>0</v>
      </c>
      <c r="G3" s="11"/>
    </row>
    <row r="4" spans="1:9" x14ac:dyDescent="0.25">
      <c r="A4" s="6">
        <f t="shared" si="0"/>
        <v>3</v>
      </c>
      <c r="B4" s="15" t="s">
        <v>10</v>
      </c>
      <c r="C4" s="14"/>
      <c r="D4" s="10"/>
      <c r="E4" s="10">
        <v>6.9444444444444441E-3</v>
      </c>
      <c r="F4" s="10">
        <f t="shared" si="1"/>
        <v>0</v>
      </c>
      <c r="G4" s="11"/>
    </row>
    <row r="5" spans="1:9" x14ac:dyDescent="0.25">
      <c r="A5" s="6">
        <f t="shared" si="0"/>
        <v>4</v>
      </c>
      <c r="B5" s="13" t="s">
        <v>11</v>
      </c>
      <c r="C5" s="14"/>
      <c r="D5" s="10"/>
      <c r="E5" s="10">
        <v>4.1666666666666657E-2</v>
      </c>
      <c r="F5" s="10">
        <f t="shared" si="1"/>
        <v>0</v>
      </c>
      <c r="G5" s="11"/>
    </row>
    <row r="6" spans="1:9" x14ac:dyDescent="0.25">
      <c r="A6" s="6">
        <f t="shared" si="0"/>
        <v>5</v>
      </c>
      <c r="B6" s="16" t="s">
        <v>12</v>
      </c>
      <c r="C6" s="14"/>
      <c r="D6" s="10"/>
      <c r="E6" s="10"/>
      <c r="F6" s="10">
        <f t="shared" si="1"/>
        <v>0</v>
      </c>
      <c r="G6" s="11"/>
    </row>
    <row r="7" spans="1:9" x14ac:dyDescent="0.25">
      <c r="A7" s="6">
        <f t="shared" si="0"/>
        <v>6</v>
      </c>
      <c r="B7" s="13" t="s">
        <v>13</v>
      </c>
      <c r="C7" s="14"/>
      <c r="D7" s="10"/>
      <c r="E7" s="10"/>
      <c r="F7" s="10">
        <f t="shared" si="1"/>
        <v>0</v>
      </c>
      <c r="G7" s="11"/>
    </row>
    <row r="8" spans="1:9" x14ac:dyDescent="0.25">
      <c r="A8" s="6">
        <f t="shared" si="0"/>
        <v>7</v>
      </c>
      <c r="B8" s="16"/>
      <c r="C8" s="14"/>
      <c r="D8" s="10"/>
      <c r="E8" s="10"/>
      <c r="F8" s="14">
        <f t="shared" si="1"/>
        <v>0</v>
      </c>
      <c r="G8" s="11"/>
    </row>
    <row r="9" spans="1:9" x14ac:dyDescent="0.25">
      <c r="A9" s="6">
        <f t="shared" si="0"/>
        <v>8</v>
      </c>
      <c r="B9" s="16"/>
      <c r="C9" s="14"/>
      <c r="D9" s="10"/>
      <c r="E9" s="10"/>
      <c r="F9" s="10">
        <f t="shared" si="1"/>
        <v>0</v>
      </c>
      <c r="G9" s="11"/>
    </row>
    <row r="10" spans="1:9" x14ac:dyDescent="0.25">
      <c r="A10" s="6">
        <f t="shared" si="0"/>
        <v>9</v>
      </c>
      <c r="B10" s="16"/>
      <c r="C10" s="14"/>
      <c r="D10" s="10"/>
      <c r="E10" s="10"/>
      <c r="F10" s="10">
        <f t="shared" si="1"/>
        <v>0</v>
      </c>
      <c r="G10" s="11"/>
    </row>
    <row r="11" spans="1:9" x14ac:dyDescent="0.25">
      <c r="A11" s="6">
        <f t="shared" si="0"/>
        <v>10</v>
      </c>
      <c r="B11" s="16"/>
      <c r="C11" s="14"/>
      <c r="D11" s="17"/>
      <c r="E11" s="17"/>
      <c r="F11" s="10">
        <f t="shared" si="1"/>
        <v>0</v>
      </c>
      <c r="G11" s="11"/>
    </row>
    <row r="12" spans="1:9" x14ac:dyDescent="0.25">
      <c r="A12" s="6">
        <f t="shared" si="0"/>
        <v>11</v>
      </c>
      <c r="B12" s="16"/>
      <c r="C12" s="14"/>
      <c r="D12" s="17"/>
      <c r="E12" s="17"/>
      <c r="F12" s="10">
        <f t="shared" si="1"/>
        <v>0</v>
      </c>
      <c r="G12" s="11"/>
    </row>
    <row r="13" spans="1:9" x14ac:dyDescent="0.25">
      <c r="A13" s="6">
        <f t="shared" si="0"/>
        <v>12</v>
      </c>
      <c r="B13" s="16"/>
      <c r="C13" s="14"/>
      <c r="D13" s="17"/>
      <c r="E13" s="17"/>
      <c r="F13" s="10">
        <f t="shared" si="1"/>
        <v>0</v>
      </c>
      <c r="G13" s="11"/>
    </row>
    <row r="14" spans="1:9" x14ac:dyDescent="0.25">
      <c r="A14" s="6">
        <f t="shared" si="0"/>
        <v>13</v>
      </c>
      <c r="B14" s="16"/>
      <c r="C14" s="14"/>
      <c r="D14" s="17"/>
      <c r="E14" s="17"/>
      <c r="F14" s="10">
        <f t="shared" si="1"/>
        <v>0</v>
      </c>
      <c r="G14" s="11"/>
    </row>
    <row r="15" spans="1:9" x14ac:dyDescent="0.25">
      <c r="A15" s="6">
        <f t="shared" si="0"/>
        <v>14</v>
      </c>
      <c r="B15" s="16"/>
      <c r="C15" s="14"/>
      <c r="D15" s="17"/>
      <c r="E15" s="17"/>
      <c r="F15" s="10">
        <f t="shared" si="1"/>
        <v>0</v>
      </c>
      <c r="G15" s="11"/>
    </row>
    <row r="16" spans="1:9" x14ac:dyDescent="0.25">
      <c r="A16" s="6">
        <f t="shared" si="0"/>
        <v>15</v>
      </c>
      <c r="B16" s="16"/>
      <c r="C16" s="14"/>
      <c r="D16" s="17"/>
      <c r="E16" s="17"/>
      <c r="F16" s="10">
        <f t="shared" si="1"/>
        <v>0</v>
      </c>
      <c r="G16" s="11"/>
    </row>
    <row r="17" spans="1:7" x14ac:dyDescent="0.25">
      <c r="A17" s="6">
        <f t="shared" si="0"/>
        <v>16</v>
      </c>
      <c r="B17" s="16"/>
      <c r="C17" s="14"/>
      <c r="D17" s="17"/>
      <c r="E17" s="17"/>
      <c r="F17" s="10">
        <f t="shared" si="1"/>
        <v>0</v>
      </c>
      <c r="G17" s="11"/>
    </row>
    <row r="18" spans="1:7" x14ac:dyDescent="0.25">
      <c r="A18" s="6">
        <f t="shared" si="0"/>
        <v>17</v>
      </c>
      <c r="B18" s="16" t="s">
        <v>14</v>
      </c>
      <c r="C18" s="14"/>
      <c r="D18" s="17"/>
      <c r="E18" s="17"/>
      <c r="F18" s="10">
        <f t="shared" si="1"/>
        <v>0</v>
      </c>
      <c r="G18" s="11"/>
    </row>
    <row r="19" spans="1:7" x14ac:dyDescent="0.25">
      <c r="A19" s="6">
        <f t="shared" si="0"/>
        <v>18</v>
      </c>
      <c r="B19" s="16" t="s">
        <v>15</v>
      </c>
      <c r="C19" s="14"/>
      <c r="D19" s="17"/>
      <c r="E19" s="17"/>
      <c r="F19" s="10">
        <f t="shared" si="1"/>
        <v>0</v>
      </c>
      <c r="G19" s="11"/>
    </row>
    <row r="20" spans="1:7" x14ac:dyDescent="0.25">
      <c r="A20" s="6">
        <f t="shared" si="0"/>
        <v>19</v>
      </c>
      <c r="B20" s="16" t="s">
        <v>16</v>
      </c>
      <c r="C20" s="14"/>
      <c r="D20" s="17"/>
      <c r="E20" s="17"/>
      <c r="F20" s="10">
        <f t="shared" si="1"/>
        <v>0</v>
      </c>
      <c r="G20" s="11"/>
    </row>
    <row r="21" spans="1:7" ht="15.75" customHeight="1" thickBot="1" x14ac:dyDescent="0.3">
      <c r="A21" s="6">
        <f t="shared" si="0"/>
        <v>20</v>
      </c>
      <c r="B21" s="16" t="s">
        <v>17</v>
      </c>
      <c r="C21" s="18"/>
      <c r="D21" s="19"/>
      <c r="E21" s="17"/>
      <c r="F21" s="10">
        <f t="shared" si="1"/>
        <v>0</v>
      </c>
      <c r="G21" s="11"/>
    </row>
    <row r="22" spans="1:7" ht="15.75" customHeight="1" thickBot="1" x14ac:dyDescent="0.3">
      <c r="A22" s="20"/>
      <c r="B22" s="21" t="s">
        <v>18</v>
      </c>
      <c r="C22" s="22"/>
      <c r="D22" s="22"/>
      <c r="E22" s="23"/>
      <c r="F22" s="24">
        <f>SUM(F2:F21)</f>
        <v>0</v>
      </c>
      <c r="G22" s="25"/>
    </row>
    <row r="25" spans="1:7" ht="15.75" customHeight="1" thickBot="1" x14ac:dyDescent="0.3"/>
    <row r="26" spans="1:7" ht="15.75" customHeight="1" thickBot="1" x14ac:dyDescent="0.3">
      <c r="A26" s="26" t="s">
        <v>0</v>
      </c>
      <c r="B26" s="27" t="s">
        <v>1</v>
      </c>
      <c r="C26" s="26" t="s">
        <v>19</v>
      </c>
    </row>
    <row r="27" spans="1:7" x14ac:dyDescent="0.25">
      <c r="A27" s="28">
        <v>1</v>
      </c>
      <c r="B27" s="29" t="s">
        <v>280</v>
      </c>
      <c r="C27" s="30"/>
    </row>
    <row r="28" spans="1:7" x14ac:dyDescent="0.25">
      <c r="A28" s="28">
        <v>2</v>
      </c>
      <c r="B28" s="29" t="s">
        <v>285</v>
      </c>
      <c r="C28" s="30"/>
    </row>
    <row r="29" spans="1:7" x14ac:dyDescent="0.25">
      <c r="A29" s="28">
        <v>3</v>
      </c>
      <c r="B29" s="29" t="s">
        <v>282</v>
      </c>
      <c r="C29" s="30"/>
    </row>
    <row r="30" spans="1:7" x14ac:dyDescent="0.25">
      <c r="A30" s="28">
        <v>4</v>
      </c>
      <c r="B30" s="29" t="s">
        <v>283</v>
      </c>
      <c r="C30" s="30"/>
    </row>
    <row r="31" spans="1:7" x14ac:dyDescent="0.25">
      <c r="A31" s="28">
        <v>5</v>
      </c>
      <c r="B31" s="29" t="s">
        <v>284</v>
      </c>
      <c r="C31" s="30"/>
    </row>
    <row r="32" spans="1:7" x14ac:dyDescent="0.25">
      <c r="A32" s="28">
        <v>6</v>
      </c>
      <c r="B32" s="29" t="s">
        <v>238</v>
      </c>
      <c r="C32" s="30"/>
    </row>
    <row r="33" spans="1:3" x14ac:dyDescent="0.25">
      <c r="A33" s="28">
        <v>7</v>
      </c>
      <c r="B33" s="29"/>
      <c r="C33" s="30"/>
    </row>
    <row r="34" spans="1:3" x14ac:dyDescent="0.25">
      <c r="A34" s="28">
        <v>8</v>
      </c>
      <c r="B34" s="29"/>
      <c r="C34" s="30"/>
    </row>
    <row r="35" spans="1:3" x14ac:dyDescent="0.25">
      <c r="A35" s="28">
        <v>9</v>
      </c>
      <c r="B35" s="29"/>
      <c r="C35" s="30"/>
    </row>
    <row r="36" spans="1:3" x14ac:dyDescent="0.25">
      <c r="A36" s="28">
        <v>10</v>
      </c>
      <c r="B36" s="29"/>
      <c r="C36" s="30"/>
    </row>
    <row r="37" spans="1:3" x14ac:dyDescent="0.25">
      <c r="A37" s="28">
        <v>11</v>
      </c>
      <c r="B37" s="29"/>
      <c r="C37" s="30"/>
    </row>
    <row r="38" spans="1:3" x14ac:dyDescent="0.25">
      <c r="A38" s="28">
        <v>12</v>
      </c>
      <c r="B38" s="29"/>
      <c r="C38" s="30"/>
    </row>
    <row r="39" spans="1:3" x14ac:dyDescent="0.25">
      <c r="A39" s="28">
        <v>13</v>
      </c>
      <c r="B39" s="29"/>
      <c r="C39" s="30"/>
    </row>
    <row r="40" spans="1:3" x14ac:dyDescent="0.25">
      <c r="A40" s="28">
        <v>14</v>
      </c>
      <c r="B40" s="29"/>
      <c r="C40" s="30"/>
    </row>
    <row r="41" spans="1:3" x14ac:dyDescent="0.25">
      <c r="A41" s="28">
        <v>15</v>
      </c>
      <c r="B41" s="29"/>
      <c r="C41" s="30"/>
    </row>
    <row r="42" spans="1:3" x14ac:dyDescent="0.25">
      <c r="A42" s="28">
        <v>16</v>
      </c>
      <c r="B42" s="29"/>
      <c r="C42" s="30"/>
    </row>
    <row r="43" spans="1:3" x14ac:dyDescent="0.25">
      <c r="A43" s="28">
        <v>17</v>
      </c>
      <c r="B43" s="29"/>
      <c r="C43" s="30"/>
    </row>
    <row r="50" spans="1:2" ht="31.5" customHeight="1" x14ac:dyDescent="0.25">
      <c r="B50" s="51"/>
    </row>
    <row r="51" spans="1:2" x14ac:dyDescent="0.25">
      <c r="B51" s="52"/>
    </row>
    <row r="52" spans="1:2" x14ac:dyDescent="0.25">
      <c r="A52">
        <v>1</v>
      </c>
      <c r="B52" s="52" t="s">
        <v>280</v>
      </c>
    </row>
    <row r="53" spans="1:2" x14ac:dyDescent="0.25">
      <c r="A53">
        <v>2</v>
      </c>
      <c r="B53" s="52" t="s">
        <v>285</v>
      </c>
    </row>
    <row r="54" spans="1:2" x14ac:dyDescent="0.25">
      <c r="A54">
        <v>3</v>
      </c>
      <c r="B54" s="52" t="s">
        <v>282</v>
      </c>
    </row>
    <row r="55" spans="1:2" x14ac:dyDescent="0.25">
      <c r="A55">
        <v>4</v>
      </c>
      <c r="B55" s="52" t="s">
        <v>283</v>
      </c>
    </row>
    <row r="56" spans="1:2" x14ac:dyDescent="0.25">
      <c r="A56">
        <v>5</v>
      </c>
      <c r="B56" s="52" t="s">
        <v>284</v>
      </c>
    </row>
    <row r="57" spans="1:2" x14ac:dyDescent="0.25">
      <c r="A57">
        <v>6</v>
      </c>
      <c r="B57" s="52" t="s">
        <v>238</v>
      </c>
    </row>
    <row r="58" spans="1:2" x14ac:dyDescent="0.25">
      <c r="B58" s="52"/>
    </row>
    <row r="59" spans="1:2" x14ac:dyDescent="0.25">
      <c r="B59" s="52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59"/>
  <sheetViews>
    <sheetView topLeftCell="A39" workbookViewId="0">
      <selection activeCell="B52" sqref="A52:B57"/>
    </sheetView>
  </sheetViews>
  <sheetFormatPr defaultRowHeight="15" x14ac:dyDescent="0.25"/>
  <cols>
    <col min="1" max="1" width="6.7109375" bestFit="1" customWidth="1"/>
    <col min="2" max="2" width="56.7109375" customWidth="1"/>
    <col min="3" max="3" width="9.5703125" bestFit="1" customWidth="1"/>
    <col min="4" max="4" width="8.7109375" bestFit="1" customWidth="1"/>
    <col min="5" max="5" width="12.42578125" bestFit="1" customWidth="1"/>
    <col min="6" max="6" width="10.85546875" bestFit="1" customWidth="1"/>
    <col min="7" max="7" width="6.7109375" bestFit="1" customWidth="1"/>
  </cols>
  <sheetData>
    <row r="1" spans="1:9" ht="15.75" customHeight="1" thickBot="1" x14ac:dyDescent="0.3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2" t="s">
        <v>6</v>
      </c>
    </row>
    <row r="2" spans="1:9" x14ac:dyDescent="0.25">
      <c r="A2" s="6">
        <f t="shared" ref="A2:A21" si="0">ROW() - ROW($A$1)</f>
        <v>1</v>
      </c>
      <c r="B2" s="7" t="s">
        <v>7</v>
      </c>
      <c r="C2" s="8"/>
      <c r="D2" s="9"/>
      <c r="E2" s="9">
        <v>1.388888888888889E-2</v>
      </c>
      <c r="F2" s="10">
        <f t="shared" ref="F2:F21" si="1">D2-C2</f>
        <v>0</v>
      </c>
      <c r="G2" s="11"/>
      <c r="I2" s="12" t="s">
        <v>8</v>
      </c>
    </row>
    <row r="3" spans="1:9" x14ac:dyDescent="0.25">
      <c r="A3" s="6">
        <f t="shared" si="0"/>
        <v>2</v>
      </c>
      <c r="B3" s="13" t="s">
        <v>9</v>
      </c>
      <c r="C3" s="14"/>
      <c r="D3" s="10"/>
      <c r="E3" s="10">
        <v>1.7361111111111108E-2</v>
      </c>
      <c r="F3" s="10">
        <f t="shared" si="1"/>
        <v>0</v>
      </c>
      <c r="G3" s="11"/>
    </row>
    <row r="4" spans="1:9" x14ac:dyDescent="0.25">
      <c r="A4" s="6">
        <f t="shared" si="0"/>
        <v>3</v>
      </c>
      <c r="B4" s="15" t="s">
        <v>10</v>
      </c>
      <c r="C4" s="14"/>
      <c r="D4" s="10"/>
      <c r="E4" s="10">
        <v>6.9444444444444441E-3</v>
      </c>
      <c r="F4" s="10">
        <f t="shared" si="1"/>
        <v>0</v>
      </c>
      <c r="G4" s="11"/>
    </row>
    <row r="5" spans="1:9" x14ac:dyDescent="0.25">
      <c r="A5" s="6">
        <f t="shared" si="0"/>
        <v>4</v>
      </c>
      <c r="B5" s="13" t="s">
        <v>11</v>
      </c>
      <c r="C5" s="14"/>
      <c r="D5" s="10"/>
      <c r="E5" s="10">
        <v>4.1666666666666657E-2</v>
      </c>
      <c r="F5" s="10">
        <f t="shared" si="1"/>
        <v>0</v>
      </c>
      <c r="G5" s="11"/>
    </row>
    <row r="6" spans="1:9" x14ac:dyDescent="0.25">
      <c r="A6" s="6">
        <f t="shared" si="0"/>
        <v>5</v>
      </c>
      <c r="B6" s="16" t="s">
        <v>12</v>
      </c>
      <c r="C6" s="14"/>
      <c r="D6" s="10"/>
      <c r="E6" s="10"/>
      <c r="F6" s="10">
        <f t="shared" si="1"/>
        <v>0</v>
      </c>
      <c r="G6" s="11"/>
    </row>
    <row r="7" spans="1:9" x14ac:dyDescent="0.25">
      <c r="A7" s="6">
        <f t="shared" si="0"/>
        <v>6</v>
      </c>
      <c r="B7" s="13" t="s">
        <v>13</v>
      </c>
      <c r="C7" s="14"/>
      <c r="D7" s="10"/>
      <c r="E7" s="10"/>
      <c r="F7" s="10">
        <f t="shared" si="1"/>
        <v>0</v>
      </c>
      <c r="G7" s="11"/>
    </row>
    <row r="8" spans="1:9" x14ac:dyDescent="0.25">
      <c r="A8" s="6">
        <f t="shared" si="0"/>
        <v>7</v>
      </c>
      <c r="B8" s="16"/>
      <c r="C8" s="14"/>
      <c r="D8" s="10"/>
      <c r="E8" s="10"/>
      <c r="F8" s="14">
        <f t="shared" si="1"/>
        <v>0</v>
      </c>
      <c r="G8" s="11"/>
    </row>
    <row r="9" spans="1:9" x14ac:dyDescent="0.25">
      <c r="A9" s="6">
        <f t="shared" si="0"/>
        <v>8</v>
      </c>
      <c r="B9" s="16"/>
      <c r="C9" s="14"/>
      <c r="D9" s="10"/>
      <c r="E9" s="10"/>
      <c r="F9" s="10">
        <f t="shared" si="1"/>
        <v>0</v>
      </c>
      <c r="G9" s="11"/>
    </row>
    <row r="10" spans="1:9" x14ac:dyDescent="0.25">
      <c r="A10" s="6">
        <f t="shared" si="0"/>
        <v>9</v>
      </c>
      <c r="B10" s="16"/>
      <c r="C10" s="14"/>
      <c r="D10" s="10"/>
      <c r="E10" s="10"/>
      <c r="F10" s="10">
        <f t="shared" si="1"/>
        <v>0</v>
      </c>
      <c r="G10" s="11"/>
    </row>
    <row r="11" spans="1:9" x14ac:dyDescent="0.25">
      <c r="A11" s="6">
        <f t="shared" si="0"/>
        <v>10</v>
      </c>
      <c r="B11" s="16"/>
      <c r="C11" s="14"/>
      <c r="D11" s="17"/>
      <c r="E11" s="17"/>
      <c r="F11" s="10">
        <f t="shared" si="1"/>
        <v>0</v>
      </c>
      <c r="G11" s="11"/>
    </row>
    <row r="12" spans="1:9" x14ac:dyDescent="0.25">
      <c r="A12" s="6">
        <f t="shared" si="0"/>
        <v>11</v>
      </c>
      <c r="B12" s="16"/>
      <c r="C12" s="14"/>
      <c r="D12" s="17"/>
      <c r="E12" s="17"/>
      <c r="F12" s="10">
        <f t="shared" si="1"/>
        <v>0</v>
      </c>
      <c r="G12" s="11"/>
    </row>
    <row r="13" spans="1:9" x14ac:dyDescent="0.25">
      <c r="A13" s="6">
        <f t="shared" si="0"/>
        <v>12</v>
      </c>
      <c r="B13" s="16"/>
      <c r="C13" s="14"/>
      <c r="D13" s="17"/>
      <c r="E13" s="17"/>
      <c r="F13" s="10">
        <f t="shared" si="1"/>
        <v>0</v>
      </c>
      <c r="G13" s="11"/>
    </row>
    <row r="14" spans="1:9" x14ac:dyDescent="0.25">
      <c r="A14" s="6">
        <f t="shared" si="0"/>
        <v>13</v>
      </c>
      <c r="B14" s="16"/>
      <c r="C14" s="14"/>
      <c r="D14" s="17"/>
      <c r="E14" s="17"/>
      <c r="F14" s="10">
        <f t="shared" si="1"/>
        <v>0</v>
      </c>
      <c r="G14" s="11"/>
    </row>
    <row r="15" spans="1:9" x14ac:dyDescent="0.25">
      <c r="A15" s="6">
        <f t="shared" si="0"/>
        <v>14</v>
      </c>
      <c r="B15" s="16"/>
      <c r="C15" s="14"/>
      <c r="D15" s="17"/>
      <c r="E15" s="17"/>
      <c r="F15" s="10">
        <f t="shared" si="1"/>
        <v>0</v>
      </c>
      <c r="G15" s="11"/>
    </row>
    <row r="16" spans="1:9" x14ac:dyDescent="0.25">
      <c r="A16" s="6">
        <f t="shared" si="0"/>
        <v>15</v>
      </c>
      <c r="B16" s="16"/>
      <c r="C16" s="14"/>
      <c r="D16" s="17"/>
      <c r="E16" s="17"/>
      <c r="F16" s="10">
        <f t="shared" si="1"/>
        <v>0</v>
      </c>
      <c r="G16" s="11"/>
    </row>
    <row r="17" spans="1:7" x14ac:dyDescent="0.25">
      <c r="A17" s="6">
        <f t="shared" si="0"/>
        <v>16</v>
      </c>
      <c r="B17" s="16"/>
      <c r="C17" s="14"/>
      <c r="D17" s="17"/>
      <c r="E17" s="17"/>
      <c r="F17" s="10">
        <f t="shared" si="1"/>
        <v>0</v>
      </c>
      <c r="G17" s="11"/>
    </row>
    <row r="18" spans="1:7" x14ac:dyDescent="0.25">
      <c r="A18" s="6">
        <f t="shared" si="0"/>
        <v>17</v>
      </c>
      <c r="B18" s="16" t="s">
        <v>14</v>
      </c>
      <c r="C18" s="14"/>
      <c r="D18" s="17"/>
      <c r="E18" s="17"/>
      <c r="F18" s="10">
        <f t="shared" si="1"/>
        <v>0</v>
      </c>
      <c r="G18" s="11"/>
    </row>
    <row r="19" spans="1:7" x14ac:dyDescent="0.25">
      <c r="A19" s="6">
        <f t="shared" si="0"/>
        <v>18</v>
      </c>
      <c r="B19" s="16" t="s">
        <v>15</v>
      </c>
      <c r="C19" s="14"/>
      <c r="D19" s="17"/>
      <c r="E19" s="17"/>
      <c r="F19" s="10">
        <f t="shared" si="1"/>
        <v>0</v>
      </c>
      <c r="G19" s="11"/>
    </row>
    <row r="20" spans="1:7" x14ac:dyDescent="0.25">
      <c r="A20" s="6">
        <f t="shared" si="0"/>
        <v>19</v>
      </c>
      <c r="B20" s="16" t="s">
        <v>16</v>
      </c>
      <c r="C20" s="14"/>
      <c r="D20" s="17"/>
      <c r="E20" s="17"/>
      <c r="F20" s="10">
        <f t="shared" si="1"/>
        <v>0</v>
      </c>
      <c r="G20" s="11"/>
    </row>
    <row r="21" spans="1:7" ht="15.75" customHeight="1" thickBot="1" x14ac:dyDescent="0.3">
      <c r="A21" s="6">
        <f t="shared" si="0"/>
        <v>20</v>
      </c>
      <c r="B21" s="16" t="s">
        <v>17</v>
      </c>
      <c r="C21" s="18"/>
      <c r="D21" s="19"/>
      <c r="E21" s="17"/>
      <c r="F21" s="10">
        <f t="shared" si="1"/>
        <v>0</v>
      </c>
      <c r="G21" s="11"/>
    </row>
    <row r="22" spans="1:7" ht="15.75" customHeight="1" thickBot="1" x14ac:dyDescent="0.3">
      <c r="A22" s="20"/>
      <c r="B22" s="21" t="s">
        <v>18</v>
      </c>
      <c r="C22" s="22"/>
      <c r="D22" s="22"/>
      <c r="E22" s="23"/>
      <c r="F22" s="24">
        <f>SUM(F2:F21)</f>
        <v>0</v>
      </c>
      <c r="G22" s="25"/>
    </row>
    <row r="25" spans="1:7" ht="15.75" customHeight="1" thickBot="1" x14ac:dyDescent="0.3"/>
    <row r="26" spans="1:7" ht="15.75" customHeight="1" thickBot="1" x14ac:dyDescent="0.3">
      <c r="A26" s="26" t="s">
        <v>0</v>
      </c>
      <c r="B26" s="27" t="s">
        <v>1</v>
      </c>
      <c r="C26" s="26" t="s">
        <v>19</v>
      </c>
    </row>
    <row r="27" spans="1:7" x14ac:dyDescent="0.25">
      <c r="A27" s="28">
        <v>1</v>
      </c>
      <c r="B27" s="29" t="s">
        <v>280</v>
      </c>
      <c r="C27" s="30"/>
    </row>
    <row r="28" spans="1:7" x14ac:dyDescent="0.25">
      <c r="A28" s="28">
        <v>2</v>
      </c>
      <c r="B28" s="29" t="s">
        <v>285</v>
      </c>
      <c r="C28" s="30"/>
    </row>
    <row r="29" spans="1:7" x14ac:dyDescent="0.25">
      <c r="A29" s="28">
        <v>3</v>
      </c>
      <c r="B29" s="29" t="s">
        <v>282</v>
      </c>
      <c r="C29" s="30"/>
    </row>
    <row r="30" spans="1:7" x14ac:dyDescent="0.25">
      <c r="A30" s="28">
        <v>4</v>
      </c>
      <c r="B30" s="29" t="s">
        <v>283</v>
      </c>
      <c r="C30" s="30"/>
    </row>
    <row r="31" spans="1:7" x14ac:dyDescent="0.25">
      <c r="A31" s="28">
        <v>5</v>
      </c>
      <c r="B31" s="29" t="s">
        <v>284</v>
      </c>
      <c r="C31" s="30"/>
    </row>
    <row r="32" spans="1:7" x14ac:dyDescent="0.25">
      <c r="A32" s="28">
        <v>6</v>
      </c>
      <c r="B32" s="29" t="s">
        <v>238</v>
      </c>
      <c r="C32" s="30"/>
    </row>
    <row r="33" spans="1:3" x14ac:dyDescent="0.25">
      <c r="A33" s="28">
        <v>7</v>
      </c>
      <c r="B33" s="29"/>
      <c r="C33" s="30"/>
    </row>
    <row r="34" spans="1:3" x14ac:dyDescent="0.25">
      <c r="A34" s="28">
        <v>8</v>
      </c>
      <c r="B34" s="29"/>
      <c r="C34" s="30"/>
    </row>
    <row r="35" spans="1:3" x14ac:dyDescent="0.25">
      <c r="A35" s="28">
        <v>9</v>
      </c>
      <c r="B35" s="29"/>
      <c r="C35" s="30"/>
    </row>
    <row r="36" spans="1:3" x14ac:dyDescent="0.25">
      <c r="A36" s="28">
        <v>10</v>
      </c>
      <c r="B36" s="29"/>
      <c r="C36" s="30"/>
    </row>
    <row r="37" spans="1:3" x14ac:dyDescent="0.25">
      <c r="A37" s="28">
        <v>11</v>
      </c>
      <c r="B37" s="29"/>
      <c r="C37" s="30"/>
    </row>
    <row r="38" spans="1:3" x14ac:dyDescent="0.25">
      <c r="A38" s="28">
        <v>12</v>
      </c>
      <c r="B38" s="29"/>
      <c r="C38" s="30"/>
    </row>
    <row r="39" spans="1:3" x14ac:dyDescent="0.25">
      <c r="A39" s="28">
        <v>13</v>
      </c>
      <c r="B39" s="29"/>
      <c r="C39" s="30"/>
    </row>
    <row r="40" spans="1:3" x14ac:dyDescent="0.25">
      <c r="A40" s="28">
        <v>14</v>
      </c>
      <c r="B40" s="29"/>
      <c r="C40" s="30"/>
    </row>
    <row r="41" spans="1:3" x14ac:dyDescent="0.25">
      <c r="A41" s="28">
        <v>15</v>
      </c>
      <c r="B41" s="29"/>
      <c r="C41" s="30"/>
    </row>
    <row r="42" spans="1:3" x14ac:dyDescent="0.25">
      <c r="A42" s="28">
        <v>16</v>
      </c>
      <c r="B42" s="29"/>
      <c r="C42" s="30"/>
    </row>
    <row r="43" spans="1:3" x14ac:dyDescent="0.25">
      <c r="A43" s="28">
        <v>17</v>
      </c>
      <c r="B43" s="29"/>
      <c r="C43" s="30"/>
    </row>
    <row r="50" spans="1:2" ht="31.5" customHeight="1" x14ac:dyDescent="0.25">
      <c r="B50" s="51"/>
    </row>
    <row r="51" spans="1:2" x14ac:dyDescent="0.25">
      <c r="B51" s="52"/>
    </row>
    <row r="52" spans="1:2" x14ac:dyDescent="0.25">
      <c r="A52">
        <v>1</v>
      </c>
      <c r="B52" s="52" t="s">
        <v>280</v>
      </c>
    </row>
    <row r="53" spans="1:2" x14ac:dyDescent="0.25">
      <c r="A53">
        <v>2</v>
      </c>
      <c r="B53" s="52" t="s">
        <v>285</v>
      </c>
    </row>
    <row r="54" spans="1:2" x14ac:dyDescent="0.25">
      <c r="A54">
        <v>3</v>
      </c>
      <c r="B54" s="52" t="s">
        <v>282</v>
      </c>
    </row>
    <row r="55" spans="1:2" x14ac:dyDescent="0.25">
      <c r="A55">
        <v>4</v>
      </c>
      <c r="B55" s="52" t="s">
        <v>283</v>
      </c>
    </row>
    <row r="56" spans="1:2" x14ac:dyDescent="0.25">
      <c r="A56">
        <v>5</v>
      </c>
      <c r="B56" s="52" t="s">
        <v>284</v>
      </c>
    </row>
    <row r="57" spans="1:2" x14ac:dyDescent="0.25">
      <c r="A57">
        <v>6</v>
      </c>
      <c r="B57" s="52" t="s">
        <v>238</v>
      </c>
    </row>
    <row r="58" spans="1:2" x14ac:dyDescent="0.25">
      <c r="B58" s="52"/>
    </row>
    <row r="59" spans="1:2" x14ac:dyDescent="0.25">
      <c r="B59" s="52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43"/>
  <sheetViews>
    <sheetView topLeftCell="A33" workbookViewId="0">
      <selection activeCell="I36" sqref="I36"/>
    </sheetView>
  </sheetViews>
  <sheetFormatPr defaultRowHeight="15" x14ac:dyDescent="0.25"/>
  <cols>
    <col min="1" max="1" width="6.7109375" bestFit="1" customWidth="1"/>
    <col min="2" max="2" width="56.7109375" customWidth="1"/>
    <col min="3" max="3" width="9.5703125" bestFit="1" customWidth="1"/>
    <col min="4" max="4" width="8.7109375" bestFit="1" customWidth="1"/>
    <col min="5" max="5" width="12.42578125" bestFit="1" customWidth="1"/>
    <col min="6" max="6" width="10.85546875" bestFit="1" customWidth="1"/>
    <col min="7" max="7" width="6.7109375" bestFit="1" customWidth="1"/>
  </cols>
  <sheetData>
    <row r="1" spans="1:9" ht="15.75" customHeight="1" thickBot="1" x14ac:dyDescent="0.3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2" t="s">
        <v>6</v>
      </c>
    </row>
    <row r="2" spans="1:9" x14ac:dyDescent="0.25">
      <c r="A2" s="6">
        <f t="shared" ref="A2:A21" si="0">ROW() - ROW($A$1)</f>
        <v>1</v>
      </c>
      <c r="B2" s="7" t="s">
        <v>7</v>
      </c>
      <c r="C2" s="8"/>
      <c r="D2" s="9"/>
      <c r="E2" s="9">
        <v>1.388888888888889E-2</v>
      </c>
      <c r="F2" s="10">
        <f t="shared" ref="F2:F21" si="1">D2-C2</f>
        <v>0</v>
      </c>
      <c r="G2" s="11"/>
      <c r="I2" s="12" t="s">
        <v>8</v>
      </c>
    </row>
    <row r="3" spans="1:9" x14ac:dyDescent="0.25">
      <c r="A3" s="6">
        <f t="shared" si="0"/>
        <v>2</v>
      </c>
      <c r="B3" s="13" t="s">
        <v>9</v>
      </c>
      <c r="C3" s="14"/>
      <c r="D3" s="10"/>
      <c r="E3" s="10">
        <v>1.7361111111111108E-2</v>
      </c>
      <c r="F3" s="10">
        <f t="shared" si="1"/>
        <v>0</v>
      </c>
      <c r="G3" s="11"/>
    </row>
    <row r="4" spans="1:9" x14ac:dyDescent="0.25">
      <c r="A4" s="6">
        <f t="shared" si="0"/>
        <v>3</v>
      </c>
      <c r="B4" s="15" t="s">
        <v>10</v>
      </c>
      <c r="C4" s="14"/>
      <c r="D4" s="10"/>
      <c r="E4" s="10">
        <v>6.9444444444444441E-3</v>
      </c>
      <c r="F4" s="10">
        <f t="shared" si="1"/>
        <v>0</v>
      </c>
      <c r="G4" s="11"/>
    </row>
    <row r="5" spans="1:9" x14ac:dyDescent="0.25">
      <c r="A5" s="6">
        <f t="shared" si="0"/>
        <v>4</v>
      </c>
      <c r="B5" s="13" t="s">
        <v>11</v>
      </c>
      <c r="C5" s="14"/>
      <c r="D5" s="10"/>
      <c r="E5" s="10">
        <v>4.1666666666666657E-2</v>
      </c>
      <c r="F5" s="10">
        <f t="shared" si="1"/>
        <v>0</v>
      </c>
      <c r="G5" s="11"/>
    </row>
    <row r="6" spans="1:9" x14ac:dyDescent="0.25">
      <c r="A6" s="6">
        <f t="shared" si="0"/>
        <v>5</v>
      </c>
      <c r="B6" s="16" t="s">
        <v>12</v>
      </c>
      <c r="C6" s="14"/>
      <c r="D6" s="10"/>
      <c r="E6" s="10"/>
      <c r="F6" s="10">
        <f t="shared" si="1"/>
        <v>0</v>
      </c>
      <c r="G6" s="11"/>
    </row>
    <row r="7" spans="1:9" x14ac:dyDescent="0.25">
      <c r="A7" s="6">
        <f t="shared" si="0"/>
        <v>6</v>
      </c>
      <c r="B7" s="13" t="s">
        <v>13</v>
      </c>
      <c r="C7" s="14"/>
      <c r="D7" s="10"/>
      <c r="E7" s="10"/>
      <c r="F7" s="10">
        <f t="shared" si="1"/>
        <v>0</v>
      </c>
      <c r="G7" s="11"/>
    </row>
    <row r="8" spans="1:9" x14ac:dyDescent="0.25">
      <c r="A8" s="6">
        <f t="shared" si="0"/>
        <v>7</v>
      </c>
      <c r="B8" s="16"/>
      <c r="C8" s="14"/>
      <c r="D8" s="10"/>
      <c r="E8" s="10"/>
      <c r="F8" s="14">
        <f t="shared" si="1"/>
        <v>0</v>
      </c>
      <c r="G8" s="11"/>
    </row>
    <row r="9" spans="1:9" x14ac:dyDescent="0.25">
      <c r="A9" s="6">
        <f t="shared" si="0"/>
        <v>8</v>
      </c>
      <c r="B9" s="16"/>
      <c r="C9" s="14"/>
      <c r="D9" s="10"/>
      <c r="E9" s="10"/>
      <c r="F9" s="10">
        <f t="shared" si="1"/>
        <v>0</v>
      </c>
      <c r="G9" s="11"/>
    </row>
    <row r="10" spans="1:9" x14ac:dyDescent="0.25">
      <c r="A10" s="6">
        <f t="shared" si="0"/>
        <v>9</v>
      </c>
      <c r="B10" s="16"/>
      <c r="C10" s="14"/>
      <c r="D10" s="10"/>
      <c r="E10" s="10"/>
      <c r="F10" s="10">
        <f t="shared" si="1"/>
        <v>0</v>
      </c>
      <c r="G10" s="11"/>
    </row>
    <row r="11" spans="1:9" x14ac:dyDescent="0.25">
      <c r="A11" s="6">
        <f t="shared" si="0"/>
        <v>10</v>
      </c>
      <c r="B11" s="16"/>
      <c r="C11" s="14"/>
      <c r="D11" s="17"/>
      <c r="E11" s="17"/>
      <c r="F11" s="10">
        <f t="shared" si="1"/>
        <v>0</v>
      </c>
      <c r="G11" s="11"/>
    </row>
    <row r="12" spans="1:9" x14ac:dyDescent="0.25">
      <c r="A12" s="6">
        <f t="shared" si="0"/>
        <v>11</v>
      </c>
      <c r="B12" s="16"/>
      <c r="C12" s="14"/>
      <c r="D12" s="17"/>
      <c r="E12" s="17"/>
      <c r="F12" s="10">
        <f t="shared" si="1"/>
        <v>0</v>
      </c>
      <c r="G12" s="11"/>
    </row>
    <row r="13" spans="1:9" x14ac:dyDescent="0.25">
      <c r="A13" s="6">
        <f t="shared" si="0"/>
        <v>12</v>
      </c>
      <c r="B13" s="16"/>
      <c r="C13" s="14"/>
      <c r="D13" s="17"/>
      <c r="E13" s="17"/>
      <c r="F13" s="10">
        <f t="shared" si="1"/>
        <v>0</v>
      </c>
      <c r="G13" s="11"/>
    </row>
    <row r="14" spans="1:9" x14ac:dyDescent="0.25">
      <c r="A14" s="6">
        <f t="shared" si="0"/>
        <v>13</v>
      </c>
      <c r="B14" s="16"/>
      <c r="C14" s="14"/>
      <c r="D14" s="17"/>
      <c r="E14" s="17"/>
      <c r="F14" s="10">
        <f t="shared" si="1"/>
        <v>0</v>
      </c>
      <c r="G14" s="11"/>
    </row>
    <row r="15" spans="1:9" x14ac:dyDescent="0.25">
      <c r="A15" s="6">
        <f t="shared" si="0"/>
        <v>14</v>
      </c>
      <c r="B15" s="16"/>
      <c r="C15" s="14"/>
      <c r="D15" s="17"/>
      <c r="E15" s="17"/>
      <c r="F15" s="10">
        <f t="shared" si="1"/>
        <v>0</v>
      </c>
      <c r="G15" s="11"/>
    </row>
    <row r="16" spans="1:9" x14ac:dyDescent="0.25">
      <c r="A16" s="6">
        <f t="shared" si="0"/>
        <v>15</v>
      </c>
      <c r="B16" s="16"/>
      <c r="C16" s="14"/>
      <c r="D16" s="17"/>
      <c r="E16" s="17"/>
      <c r="F16" s="10">
        <f t="shared" si="1"/>
        <v>0</v>
      </c>
      <c r="G16" s="11"/>
    </row>
    <row r="17" spans="1:7" x14ac:dyDescent="0.25">
      <c r="A17" s="6">
        <f t="shared" si="0"/>
        <v>16</v>
      </c>
      <c r="B17" s="16"/>
      <c r="C17" s="14"/>
      <c r="D17" s="17"/>
      <c r="E17" s="17"/>
      <c r="F17" s="10">
        <f t="shared" si="1"/>
        <v>0</v>
      </c>
      <c r="G17" s="11"/>
    </row>
    <row r="18" spans="1:7" x14ac:dyDescent="0.25">
      <c r="A18" s="6">
        <f t="shared" si="0"/>
        <v>17</v>
      </c>
      <c r="B18" s="16" t="s">
        <v>14</v>
      </c>
      <c r="C18" s="14"/>
      <c r="D18" s="17"/>
      <c r="E18" s="17"/>
      <c r="F18" s="10">
        <f t="shared" si="1"/>
        <v>0</v>
      </c>
      <c r="G18" s="11"/>
    </row>
    <row r="19" spans="1:7" x14ac:dyDescent="0.25">
      <c r="A19" s="6">
        <f t="shared" si="0"/>
        <v>18</v>
      </c>
      <c r="B19" s="16" t="s">
        <v>15</v>
      </c>
      <c r="C19" s="14"/>
      <c r="D19" s="17"/>
      <c r="E19" s="17"/>
      <c r="F19" s="10">
        <f t="shared" si="1"/>
        <v>0</v>
      </c>
      <c r="G19" s="11"/>
    </row>
    <row r="20" spans="1:7" x14ac:dyDescent="0.25">
      <c r="A20" s="6">
        <f t="shared" si="0"/>
        <v>19</v>
      </c>
      <c r="B20" s="16" t="s">
        <v>16</v>
      </c>
      <c r="C20" s="14"/>
      <c r="D20" s="17"/>
      <c r="E20" s="17"/>
      <c r="F20" s="10">
        <f t="shared" si="1"/>
        <v>0</v>
      </c>
      <c r="G20" s="11"/>
    </row>
    <row r="21" spans="1:7" ht="15.75" customHeight="1" thickBot="1" x14ac:dyDescent="0.3">
      <c r="A21" s="6">
        <f t="shared" si="0"/>
        <v>20</v>
      </c>
      <c r="B21" s="16" t="s">
        <v>17</v>
      </c>
      <c r="C21" s="18"/>
      <c r="D21" s="19"/>
      <c r="E21" s="17"/>
      <c r="F21" s="10">
        <f t="shared" si="1"/>
        <v>0</v>
      </c>
      <c r="G21" s="11"/>
    </row>
    <row r="22" spans="1:7" ht="15.75" customHeight="1" thickBot="1" x14ac:dyDescent="0.3">
      <c r="A22" s="20"/>
      <c r="B22" s="21" t="s">
        <v>18</v>
      </c>
      <c r="C22" s="22"/>
      <c r="D22" s="22"/>
      <c r="E22" s="23"/>
      <c r="F22" s="24">
        <f>SUM(F2:F21)</f>
        <v>0</v>
      </c>
      <c r="G22" s="25"/>
    </row>
    <row r="25" spans="1:7" ht="15.75" customHeight="1" thickBot="1" x14ac:dyDescent="0.3"/>
    <row r="26" spans="1:7" ht="15.75" customHeight="1" thickBot="1" x14ac:dyDescent="0.3">
      <c r="A26" s="26" t="s">
        <v>0</v>
      </c>
      <c r="B26" s="27" t="s">
        <v>1</v>
      </c>
      <c r="C26" s="26" t="s">
        <v>19</v>
      </c>
    </row>
    <row r="27" spans="1:7" x14ac:dyDescent="0.25">
      <c r="A27" s="28">
        <v>1</v>
      </c>
      <c r="B27" s="29"/>
      <c r="C27" s="30"/>
    </row>
    <row r="28" spans="1:7" x14ac:dyDescent="0.25">
      <c r="A28" s="28">
        <v>2</v>
      </c>
      <c r="B28" s="29"/>
      <c r="C28" s="30"/>
    </row>
    <row r="29" spans="1:7" x14ac:dyDescent="0.25">
      <c r="A29" s="28">
        <v>3</v>
      </c>
      <c r="B29" s="29"/>
      <c r="C29" s="30"/>
    </row>
    <row r="30" spans="1:7" x14ac:dyDescent="0.25">
      <c r="A30" s="28">
        <v>4</v>
      </c>
      <c r="B30" s="29"/>
      <c r="C30" s="30"/>
    </row>
    <row r="31" spans="1:7" x14ac:dyDescent="0.25">
      <c r="A31" s="28">
        <v>5</v>
      </c>
      <c r="B31" s="29"/>
      <c r="C31" s="30"/>
    </row>
    <row r="32" spans="1:7" x14ac:dyDescent="0.25">
      <c r="A32" s="28">
        <v>6</v>
      </c>
      <c r="B32" s="29"/>
      <c r="C32" s="30"/>
    </row>
    <row r="33" spans="1:3" x14ac:dyDescent="0.25">
      <c r="A33" s="28">
        <v>7</v>
      </c>
      <c r="B33" s="29"/>
      <c r="C33" s="30"/>
    </row>
    <row r="34" spans="1:3" x14ac:dyDescent="0.25">
      <c r="A34" s="28">
        <v>8</v>
      </c>
      <c r="B34" s="29"/>
      <c r="C34" s="30"/>
    </row>
    <row r="35" spans="1:3" x14ac:dyDescent="0.25">
      <c r="A35" s="28">
        <v>9</v>
      </c>
      <c r="B35" s="29"/>
      <c r="C35" s="30"/>
    </row>
    <row r="36" spans="1:3" x14ac:dyDescent="0.25">
      <c r="A36" s="28">
        <v>10</v>
      </c>
      <c r="B36" s="29"/>
      <c r="C36" s="30"/>
    </row>
    <row r="37" spans="1:3" x14ac:dyDescent="0.25">
      <c r="A37" s="28">
        <v>11</v>
      </c>
      <c r="B37" s="29"/>
      <c r="C37" s="30"/>
    </row>
    <row r="38" spans="1:3" x14ac:dyDescent="0.25">
      <c r="A38" s="28">
        <v>12</v>
      </c>
      <c r="B38" s="29"/>
      <c r="C38" s="30"/>
    </row>
    <row r="39" spans="1:3" x14ac:dyDescent="0.25">
      <c r="A39" s="28">
        <v>13</v>
      </c>
      <c r="B39" s="29"/>
      <c r="C39" s="30"/>
    </row>
    <row r="40" spans="1:3" x14ac:dyDescent="0.25">
      <c r="A40" s="28">
        <v>14</v>
      </c>
      <c r="B40" s="29"/>
      <c r="C40" s="30"/>
    </row>
    <row r="41" spans="1:3" x14ac:dyDescent="0.25">
      <c r="A41" s="28">
        <v>15</v>
      </c>
      <c r="B41" s="29"/>
      <c r="C41" s="30"/>
    </row>
    <row r="42" spans="1:3" x14ac:dyDescent="0.25">
      <c r="A42" s="28">
        <v>16</v>
      </c>
      <c r="B42" s="29"/>
      <c r="C42" s="30"/>
    </row>
    <row r="43" spans="1:3" x14ac:dyDescent="0.25">
      <c r="A43" s="28">
        <v>17</v>
      </c>
      <c r="B43" s="29"/>
      <c r="C43" s="30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43"/>
  <sheetViews>
    <sheetView topLeftCell="A15" workbookViewId="0">
      <selection activeCell="A26" sqref="A26:B34"/>
    </sheetView>
  </sheetViews>
  <sheetFormatPr defaultRowHeight="15" x14ac:dyDescent="0.25"/>
  <cols>
    <col min="1" max="1" width="6.7109375" bestFit="1" customWidth="1"/>
    <col min="2" max="2" width="56.7109375" customWidth="1"/>
    <col min="3" max="3" width="9.5703125" bestFit="1" customWidth="1"/>
    <col min="4" max="4" width="8.7109375" bestFit="1" customWidth="1"/>
    <col min="5" max="5" width="12.42578125" bestFit="1" customWidth="1"/>
    <col min="6" max="6" width="10.85546875" bestFit="1" customWidth="1"/>
    <col min="7" max="7" width="6.7109375" bestFit="1" customWidth="1"/>
  </cols>
  <sheetData>
    <row r="1" spans="1:9" ht="15.75" customHeight="1" thickBot="1" x14ac:dyDescent="0.3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2" t="s">
        <v>6</v>
      </c>
    </row>
    <row r="2" spans="1:9" x14ac:dyDescent="0.25">
      <c r="A2" s="6">
        <f t="shared" ref="A2:A21" si="0">ROW() - ROW($A$1)</f>
        <v>1</v>
      </c>
      <c r="B2" s="7" t="s">
        <v>286</v>
      </c>
      <c r="C2" s="8">
        <v>0.44791666666666669</v>
      </c>
      <c r="D2" s="9"/>
      <c r="E2" s="9">
        <v>1.388888888888889E-2</v>
      </c>
      <c r="F2" s="10">
        <f t="shared" ref="F2:F21" si="1">D2-C2</f>
        <v>-0.44791666666666669</v>
      </c>
      <c r="G2" s="11"/>
      <c r="I2" s="12" t="s">
        <v>8</v>
      </c>
    </row>
    <row r="3" spans="1:9" x14ac:dyDescent="0.25">
      <c r="A3" s="6">
        <f t="shared" si="0"/>
        <v>2</v>
      </c>
      <c r="B3" s="13" t="s">
        <v>9</v>
      </c>
      <c r="C3" s="14"/>
      <c r="D3" s="10"/>
      <c r="E3" s="10">
        <v>1.7361111111111108E-2</v>
      </c>
      <c r="F3" s="10">
        <f t="shared" si="1"/>
        <v>0</v>
      </c>
      <c r="G3" s="11"/>
    </row>
    <row r="4" spans="1:9" x14ac:dyDescent="0.25">
      <c r="A4" s="6">
        <f t="shared" si="0"/>
        <v>3</v>
      </c>
      <c r="B4" s="15" t="s">
        <v>10</v>
      </c>
      <c r="C4" s="14"/>
      <c r="D4" s="10"/>
      <c r="E4" s="10">
        <v>6.9444444444444441E-3</v>
      </c>
      <c r="F4" s="10">
        <f t="shared" si="1"/>
        <v>0</v>
      </c>
      <c r="G4" s="11"/>
    </row>
    <row r="5" spans="1:9" x14ac:dyDescent="0.25">
      <c r="A5" s="6">
        <f t="shared" si="0"/>
        <v>4</v>
      </c>
      <c r="B5" s="13" t="s">
        <v>11</v>
      </c>
      <c r="C5" s="14"/>
      <c r="D5" s="10"/>
      <c r="E5" s="10">
        <v>4.1666666666666657E-2</v>
      </c>
      <c r="F5" s="10">
        <f t="shared" si="1"/>
        <v>0</v>
      </c>
      <c r="G5" s="11"/>
    </row>
    <row r="6" spans="1:9" x14ac:dyDescent="0.25">
      <c r="A6" s="6">
        <f t="shared" si="0"/>
        <v>5</v>
      </c>
      <c r="B6" s="16" t="s">
        <v>12</v>
      </c>
      <c r="C6" s="14"/>
      <c r="D6" s="10"/>
      <c r="E6" s="10"/>
      <c r="F6" s="10">
        <f t="shared" si="1"/>
        <v>0</v>
      </c>
      <c r="G6" s="11"/>
    </row>
    <row r="7" spans="1:9" x14ac:dyDescent="0.25">
      <c r="A7" s="6">
        <f t="shared" si="0"/>
        <v>6</v>
      </c>
      <c r="B7" s="13" t="s">
        <v>13</v>
      </c>
      <c r="C7" s="14"/>
      <c r="D7" s="10"/>
      <c r="E7" s="10"/>
      <c r="F7" s="10">
        <f t="shared" si="1"/>
        <v>0</v>
      </c>
      <c r="G7" s="11"/>
    </row>
    <row r="8" spans="1:9" x14ac:dyDescent="0.25">
      <c r="A8" s="6">
        <f t="shared" si="0"/>
        <v>7</v>
      </c>
      <c r="B8" s="16"/>
      <c r="C8" s="14"/>
      <c r="D8" s="10"/>
      <c r="E8" s="10"/>
      <c r="F8" s="14">
        <f t="shared" si="1"/>
        <v>0</v>
      </c>
      <c r="G8" s="11"/>
    </row>
    <row r="9" spans="1:9" x14ac:dyDescent="0.25">
      <c r="A9" s="6">
        <f t="shared" si="0"/>
        <v>8</v>
      </c>
      <c r="B9" s="16"/>
      <c r="C9" s="14"/>
      <c r="D9" s="10"/>
      <c r="E9" s="10"/>
      <c r="F9" s="10">
        <f t="shared" si="1"/>
        <v>0</v>
      </c>
      <c r="G9" s="11"/>
    </row>
    <row r="10" spans="1:9" x14ac:dyDescent="0.25">
      <c r="A10" s="6">
        <f t="shared" si="0"/>
        <v>9</v>
      </c>
      <c r="B10" s="16"/>
      <c r="C10" s="14"/>
      <c r="D10" s="10"/>
      <c r="E10" s="10"/>
      <c r="F10" s="10">
        <f t="shared" si="1"/>
        <v>0</v>
      </c>
      <c r="G10" s="11"/>
    </row>
    <row r="11" spans="1:9" x14ac:dyDescent="0.25">
      <c r="A11" s="6">
        <f t="shared" si="0"/>
        <v>10</v>
      </c>
      <c r="B11" s="16"/>
      <c r="C11" s="14"/>
      <c r="D11" s="17"/>
      <c r="E11" s="17"/>
      <c r="F11" s="10">
        <f t="shared" si="1"/>
        <v>0</v>
      </c>
      <c r="G11" s="11"/>
    </row>
    <row r="12" spans="1:9" x14ac:dyDescent="0.25">
      <c r="A12" s="6">
        <f t="shared" si="0"/>
        <v>11</v>
      </c>
      <c r="B12" s="16"/>
      <c r="C12" s="14"/>
      <c r="D12" s="17"/>
      <c r="E12" s="17"/>
      <c r="F12" s="10">
        <f t="shared" si="1"/>
        <v>0</v>
      </c>
      <c r="G12" s="11"/>
    </row>
    <row r="13" spans="1:9" x14ac:dyDescent="0.25">
      <c r="A13" s="6">
        <f t="shared" si="0"/>
        <v>12</v>
      </c>
      <c r="B13" s="16"/>
      <c r="C13" s="14"/>
      <c r="D13" s="17"/>
      <c r="E13" s="17"/>
      <c r="F13" s="10">
        <f t="shared" si="1"/>
        <v>0</v>
      </c>
      <c r="G13" s="11"/>
    </row>
    <row r="14" spans="1:9" x14ac:dyDescent="0.25">
      <c r="A14" s="6">
        <f t="shared" si="0"/>
        <v>13</v>
      </c>
      <c r="B14" s="16"/>
      <c r="C14" s="14"/>
      <c r="D14" s="17"/>
      <c r="E14" s="17"/>
      <c r="F14" s="10">
        <f t="shared" si="1"/>
        <v>0</v>
      </c>
      <c r="G14" s="11"/>
    </row>
    <row r="15" spans="1:9" x14ac:dyDescent="0.25">
      <c r="A15" s="6">
        <f t="shared" si="0"/>
        <v>14</v>
      </c>
      <c r="B15" s="16"/>
      <c r="C15" s="14"/>
      <c r="D15" s="17"/>
      <c r="E15" s="17"/>
      <c r="F15" s="10">
        <f t="shared" si="1"/>
        <v>0</v>
      </c>
      <c r="G15" s="11"/>
    </row>
    <row r="16" spans="1:9" x14ac:dyDescent="0.25">
      <c r="A16" s="6">
        <f t="shared" si="0"/>
        <v>15</v>
      </c>
      <c r="B16" s="16"/>
      <c r="C16" s="14"/>
      <c r="D16" s="17"/>
      <c r="E16" s="17"/>
      <c r="F16" s="10">
        <f t="shared" si="1"/>
        <v>0</v>
      </c>
      <c r="G16" s="11"/>
    </row>
    <row r="17" spans="1:7" x14ac:dyDescent="0.25">
      <c r="A17" s="6">
        <f t="shared" si="0"/>
        <v>16</v>
      </c>
      <c r="B17" s="16"/>
      <c r="C17" s="14"/>
      <c r="D17" s="17"/>
      <c r="E17" s="17"/>
      <c r="F17" s="10">
        <f t="shared" si="1"/>
        <v>0</v>
      </c>
      <c r="G17" s="11"/>
    </row>
    <row r="18" spans="1:7" x14ac:dyDescent="0.25">
      <c r="A18" s="6">
        <f t="shared" si="0"/>
        <v>17</v>
      </c>
      <c r="B18" s="16" t="s">
        <v>14</v>
      </c>
      <c r="C18" s="14"/>
      <c r="D18" s="17"/>
      <c r="E18" s="17"/>
      <c r="F18" s="10">
        <f t="shared" si="1"/>
        <v>0</v>
      </c>
      <c r="G18" s="11"/>
    </row>
    <row r="19" spans="1:7" x14ac:dyDescent="0.25">
      <c r="A19" s="6">
        <f t="shared" si="0"/>
        <v>18</v>
      </c>
      <c r="B19" s="16" t="s">
        <v>15</v>
      </c>
      <c r="C19" s="14"/>
      <c r="D19" s="17"/>
      <c r="E19" s="17"/>
      <c r="F19" s="10">
        <f t="shared" si="1"/>
        <v>0</v>
      </c>
      <c r="G19" s="11"/>
    </row>
    <row r="20" spans="1:7" x14ac:dyDescent="0.25">
      <c r="A20" s="6">
        <f t="shared" si="0"/>
        <v>19</v>
      </c>
      <c r="B20" s="16" t="s">
        <v>16</v>
      </c>
      <c r="C20" s="14"/>
      <c r="D20" s="17"/>
      <c r="E20" s="17"/>
      <c r="F20" s="10">
        <f t="shared" si="1"/>
        <v>0</v>
      </c>
      <c r="G20" s="11"/>
    </row>
    <row r="21" spans="1:7" ht="15.75" customHeight="1" thickBot="1" x14ac:dyDescent="0.3">
      <c r="A21" s="6">
        <f t="shared" si="0"/>
        <v>20</v>
      </c>
      <c r="B21" s="16" t="s">
        <v>17</v>
      </c>
      <c r="C21" s="18"/>
      <c r="D21" s="19"/>
      <c r="E21" s="17"/>
      <c r="F21" s="10">
        <f t="shared" si="1"/>
        <v>0</v>
      </c>
      <c r="G21" s="11"/>
    </row>
    <row r="22" spans="1:7" ht="15.75" customHeight="1" thickBot="1" x14ac:dyDescent="0.3">
      <c r="A22" s="20"/>
      <c r="B22" s="21" t="s">
        <v>18</v>
      </c>
      <c r="C22" s="22"/>
      <c r="D22" s="22"/>
      <c r="E22" s="23"/>
      <c r="F22" s="24">
        <f>SUM(F2:F21)</f>
        <v>-0.44791666666666669</v>
      </c>
      <c r="G22" s="25"/>
    </row>
    <row r="25" spans="1:7" ht="15.75" customHeight="1" thickBot="1" x14ac:dyDescent="0.3"/>
    <row r="26" spans="1:7" ht="15.75" customHeight="1" thickBot="1" x14ac:dyDescent="0.3">
      <c r="A26" s="26" t="s">
        <v>0</v>
      </c>
      <c r="B26" s="75" t="s">
        <v>1</v>
      </c>
      <c r="C26" s="26" t="s">
        <v>19</v>
      </c>
    </row>
    <row r="27" spans="1:7" x14ac:dyDescent="0.25">
      <c r="A27" s="28">
        <v>1</v>
      </c>
      <c r="B27" s="76" t="s">
        <v>287</v>
      </c>
      <c r="C27" s="30"/>
    </row>
    <row r="28" spans="1:7" x14ac:dyDescent="0.25">
      <c r="A28" s="28">
        <v>2</v>
      </c>
      <c r="B28" s="76" t="s">
        <v>288</v>
      </c>
      <c r="C28" s="30"/>
    </row>
    <row r="29" spans="1:7" x14ac:dyDescent="0.25">
      <c r="A29" s="28">
        <v>3</v>
      </c>
      <c r="B29" s="76" t="s">
        <v>289</v>
      </c>
      <c r="C29" s="30"/>
    </row>
    <row r="30" spans="1:7" x14ac:dyDescent="0.25">
      <c r="A30" s="28">
        <v>4</v>
      </c>
      <c r="B30" s="76" t="s">
        <v>290</v>
      </c>
      <c r="C30" s="30"/>
    </row>
    <row r="31" spans="1:7" x14ac:dyDescent="0.25">
      <c r="A31" s="28">
        <v>5</v>
      </c>
      <c r="B31" s="76" t="s">
        <v>291</v>
      </c>
      <c r="C31" s="30"/>
    </row>
    <row r="32" spans="1:7" x14ac:dyDescent="0.25">
      <c r="A32" s="28">
        <v>6</v>
      </c>
      <c r="B32" s="76" t="s">
        <v>292</v>
      </c>
      <c r="C32" s="30"/>
    </row>
    <row r="33" spans="1:5" x14ac:dyDescent="0.25">
      <c r="A33" s="28">
        <v>7</v>
      </c>
      <c r="B33" s="76" t="s">
        <v>293</v>
      </c>
      <c r="C33" s="30"/>
      <c r="E33" s="32">
        <f>SUM(C27:C33)</f>
        <v>0</v>
      </c>
    </row>
    <row r="34" spans="1:5" ht="15.75" customHeight="1" thickBot="1" x14ac:dyDescent="0.3">
      <c r="A34" s="43">
        <v>8</v>
      </c>
      <c r="B34" s="77" t="s">
        <v>294</v>
      </c>
      <c r="C34" s="30"/>
    </row>
    <row r="35" spans="1:5" x14ac:dyDescent="0.25">
      <c r="A35" s="73">
        <v>9</v>
      </c>
      <c r="B35" s="74"/>
      <c r="C35" s="30"/>
    </row>
    <row r="36" spans="1:5" x14ac:dyDescent="0.25">
      <c r="A36" s="28">
        <v>10</v>
      </c>
      <c r="B36" s="29"/>
      <c r="C36" s="30"/>
    </row>
    <row r="37" spans="1:5" x14ac:dyDescent="0.25">
      <c r="A37" s="28">
        <v>11</v>
      </c>
      <c r="B37" s="29"/>
      <c r="C37" s="30"/>
    </row>
    <row r="38" spans="1:5" x14ac:dyDescent="0.25">
      <c r="A38" s="28">
        <v>12</v>
      </c>
      <c r="B38" s="29"/>
      <c r="C38" s="30"/>
    </row>
    <row r="39" spans="1:5" x14ac:dyDescent="0.25">
      <c r="A39" s="28">
        <v>13</v>
      </c>
      <c r="B39" s="29"/>
      <c r="C39" s="30"/>
    </row>
    <row r="40" spans="1:5" x14ac:dyDescent="0.25">
      <c r="A40" s="28">
        <v>14</v>
      </c>
      <c r="B40" s="29"/>
      <c r="C40" s="30"/>
    </row>
    <row r="41" spans="1:5" x14ac:dyDescent="0.25">
      <c r="A41" s="28">
        <v>15</v>
      </c>
      <c r="B41" s="29"/>
      <c r="C41" s="30"/>
    </row>
    <row r="42" spans="1:5" x14ac:dyDescent="0.25">
      <c r="A42" s="28">
        <v>16</v>
      </c>
      <c r="B42" s="29"/>
      <c r="C42" s="30"/>
    </row>
    <row r="43" spans="1:5" x14ac:dyDescent="0.25">
      <c r="A43" s="28">
        <v>17</v>
      </c>
      <c r="B43" s="29"/>
      <c r="C43" s="30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I43"/>
  <sheetViews>
    <sheetView topLeftCell="A24" workbookViewId="0">
      <selection activeCell="B27" sqref="B27:B33"/>
    </sheetView>
  </sheetViews>
  <sheetFormatPr defaultRowHeight="15" x14ac:dyDescent="0.25"/>
  <cols>
    <col min="1" max="1" width="6.7109375" bestFit="1" customWidth="1"/>
    <col min="2" max="2" width="56.7109375" customWidth="1"/>
    <col min="3" max="3" width="9.5703125" bestFit="1" customWidth="1"/>
    <col min="4" max="4" width="8.7109375" bestFit="1" customWidth="1"/>
    <col min="5" max="5" width="12.42578125" bestFit="1" customWidth="1"/>
    <col min="6" max="6" width="10.85546875" bestFit="1" customWidth="1"/>
    <col min="7" max="7" width="6.7109375" bestFit="1" customWidth="1"/>
  </cols>
  <sheetData>
    <row r="1" spans="1:9" ht="15.75" customHeight="1" thickBot="1" x14ac:dyDescent="0.3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2" t="s">
        <v>6</v>
      </c>
    </row>
    <row r="2" spans="1:9" x14ac:dyDescent="0.25">
      <c r="A2" s="6">
        <f t="shared" ref="A2:A21" si="0">ROW() - ROW($A$1)</f>
        <v>1</v>
      </c>
      <c r="B2" s="7" t="s">
        <v>286</v>
      </c>
      <c r="C2" s="8">
        <v>0.44791666666666669</v>
      </c>
      <c r="D2" s="9"/>
      <c r="E2" s="9">
        <v>1.388888888888889E-2</v>
      </c>
      <c r="F2" s="10">
        <f t="shared" ref="F2:F21" si="1">D2-C2</f>
        <v>-0.44791666666666669</v>
      </c>
      <c r="G2" s="11"/>
      <c r="I2" s="12" t="s">
        <v>8</v>
      </c>
    </row>
    <row r="3" spans="1:9" x14ac:dyDescent="0.25">
      <c r="A3" s="6">
        <f t="shared" si="0"/>
        <v>2</v>
      </c>
      <c r="B3" s="13" t="s">
        <v>9</v>
      </c>
      <c r="C3" s="14"/>
      <c r="D3" s="10"/>
      <c r="E3" s="10">
        <v>1.7361111111111108E-2</v>
      </c>
      <c r="F3" s="10">
        <f t="shared" si="1"/>
        <v>0</v>
      </c>
      <c r="G3" s="11"/>
    </row>
    <row r="4" spans="1:9" x14ac:dyDescent="0.25">
      <c r="A4" s="6">
        <f t="shared" si="0"/>
        <v>3</v>
      </c>
      <c r="B4" s="15" t="s">
        <v>10</v>
      </c>
      <c r="C4" s="14"/>
      <c r="D4" s="10"/>
      <c r="E4" s="10">
        <v>6.9444444444444441E-3</v>
      </c>
      <c r="F4" s="10">
        <f t="shared" si="1"/>
        <v>0</v>
      </c>
      <c r="G4" s="11"/>
    </row>
    <row r="5" spans="1:9" x14ac:dyDescent="0.25">
      <c r="A5" s="6">
        <f t="shared" si="0"/>
        <v>4</v>
      </c>
      <c r="B5" s="13" t="s">
        <v>11</v>
      </c>
      <c r="C5" s="14"/>
      <c r="D5" s="10"/>
      <c r="E5" s="10">
        <v>4.1666666666666657E-2</v>
      </c>
      <c r="F5" s="10">
        <f t="shared" si="1"/>
        <v>0</v>
      </c>
      <c r="G5" s="11"/>
    </row>
    <row r="6" spans="1:9" x14ac:dyDescent="0.25">
      <c r="A6" s="6">
        <f t="shared" si="0"/>
        <v>5</v>
      </c>
      <c r="B6" s="16" t="s">
        <v>12</v>
      </c>
      <c r="C6" s="14"/>
      <c r="D6" s="10"/>
      <c r="E6" s="10"/>
      <c r="F6" s="10">
        <f t="shared" si="1"/>
        <v>0</v>
      </c>
      <c r="G6" s="11"/>
    </row>
    <row r="7" spans="1:9" x14ac:dyDescent="0.25">
      <c r="A7" s="6">
        <f t="shared" si="0"/>
        <v>6</v>
      </c>
      <c r="B7" s="13" t="s">
        <v>13</v>
      </c>
      <c r="C7" s="14"/>
      <c r="D7" s="10"/>
      <c r="E7" s="10"/>
      <c r="F7" s="10">
        <f t="shared" si="1"/>
        <v>0</v>
      </c>
      <c r="G7" s="11"/>
    </row>
    <row r="8" spans="1:9" x14ac:dyDescent="0.25">
      <c r="A8" s="6">
        <f t="shared" si="0"/>
        <v>7</v>
      </c>
      <c r="B8" s="16"/>
      <c r="C8" s="14"/>
      <c r="D8" s="10"/>
      <c r="E8" s="10"/>
      <c r="F8" s="14">
        <f t="shared" si="1"/>
        <v>0</v>
      </c>
      <c r="G8" s="11"/>
    </row>
    <row r="9" spans="1:9" x14ac:dyDescent="0.25">
      <c r="A9" s="6">
        <f t="shared" si="0"/>
        <v>8</v>
      </c>
      <c r="B9" s="16"/>
      <c r="C9" s="14"/>
      <c r="D9" s="10"/>
      <c r="E9" s="10"/>
      <c r="F9" s="10">
        <f t="shared" si="1"/>
        <v>0</v>
      </c>
      <c r="G9" s="11"/>
    </row>
    <row r="10" spans="1:9" x14ac:dyDescent="0.25">
      <c r="A10" s="6">
        <f t="shared" si="0"/>
        <v>9</v>
      </c>
      <c r="B10" s="16"/>
      <c r="C10" s="14"/>
      <c r="D10" s="10"/>
      <c r="E10" s="10"/>
      <c r="F10" s="10">
        <f t="shared" si="1"/>
        <v>0</v>
      </c>
      <c r="G10" s="11"/>
    </row>
    <row r="11" spans="1:9" x14ac:dyDescent="0.25">
      <c r="A11" s="6">
        <f t="shared" si="0"/>
        <v>10</v>
      </c>
      <c r="B11" s="16"/>
      <c r="C11" s="14"/>
      <c r="D11" s="17"/>
      <c r="E11" s="17"/>
      <c r="F11" s="10">
        <f t="shared" si="1"/>
        <v>0</v>
      </c>
      <c r="G11" s="11"/>
    </row>
    <row r="12" spans="1:9" x14ac:dyDescent="0.25">
      <c r="A12" s="6">
        <f t="shared" si="0"/>
        <v>11</v>
      </c>
      <c r="B12" s="16"/>
      <c r="C12" s="14"/>
      <c r="D12" s="17"/>
      <c r="E12" s="17"/>
      <c r="F12" s="10">
        <f t="shared" si="1"/>
        <v>0</v>
      </c>
      <c r="G12" s="11"/>
    </row>
    <row r="13" spans="1:9" x14ac:dyDescent="0.25">
      <c r="A13" s="6">
        <f t="shared" si="0"/>
        <v>12</v>
      </c>
      <c r="B13" s="16"/>
      <c r="C13" s="14"/>
      <c r="D13" s="17"/>
      <c r="E13" s="17"/>
      <c r="F13" s="10">
        <f t="shared" si="1"/>
        <v>0</v>
      </c>
      <c r="G13" s="11"/>
    </row>
    <row r="14" spans="1:9" x14ac:dyDescent="0.25">
      <c r="A14" s="6">
        <f t="shared" si="0"/>
        <v>13</v>
      </c>
      <c r="B14" s="16"/>
      <c r="C14" s="14"/>
      <c r="D14" s="17"/>
      <c r="E14" s="17"/>
      <c r="F14" s="10">
        <f t="shared" si="1"/>
        <v>0</v>
      </c>
      <c r="G14" s="11"/>
    </row>
    <row r="15" spans="1:9" x14ac:dyDescent="0.25">
      <c r="A15" s="6">
        <f t="shared" si="0"/>
        <v>14</v>
      </c>
      <c r="B15" s="16"/>
      <c r="C15" s="14"/>
      <c r="D15" s="17"/>
      <c r="E15" s="17"/>
      <c r="F15" s="10">
        <f t="shared" si="1"/>
        <v>0</v>
      </c>
      <c r="G15" s="11"/>
    </row>
    <row r="16" spans="1:9" x14ac:dyDescent="0.25">
      <c r="A16" s="6">
        <f t="shared" si="0"/>
        <v>15</v>
      </c>
      <c r="B16" s="16"/>
      <c r="C16" s="14"/>
      <c r="D16" s="17"/>
      <c r="E16" s="17"/>
      <c r="F16" s="10">
        <f t="shared" si="1"/>
        <v>0</v>
      </c>
      <c r="G16" s="11"/>
    </row>
    <row r="17" spans="1:7" x14ac:dyDescent="0.25">
      <c r="A17" s="6">
        <f t="shared" si="0"/>
        <v>16</v>
      </c>
      <c r="B17" s="16"/>
      <c r="C17" s="14"/>
      <c r="D17" s="17"/>
      <c r="E17" s="17"/>
      <c r="F17" s="10">
        <f t="shared" si="1"/>
        <v>0</v>
      </c>
      <c r="G17" s="11"/>
    </row>
    <row r="18" spans="1:7" x14ac:dyDescent="0.25">
      <c r="A18" s="6">
        <f t="shared" si="0"/>
        <v>17</v>
      </c>
      <c r="B18" s="16" t="s">
        <v>14</v>
      </c>
      <c r="C18" s="14"/>
      <c r="D18" s="17"/>
      <c r="E18" s="17"/>
      <c r="F18" s="10">
        <f t="shared" si="1"/>
        <v>0</v>
      </c>
      <c r="G18" s="11"/>
    </row>
    <row r="19" spans="1:7" x14ac:dyDescent="0.25">
      <c r="A19" s="6">
        <f t="shared" si="0"/>
        <v>18</v>
      </c>
      <c r="B19" s="16" t="s">
        <v>15</v>
      </c>
      <c r="C19" s="14"/>
      <c r="D19" s="17"/>
      <c r="E19" s="17"/>
      <c r="F19" s="10">
        <f t="shared" si="1"/>
        <v>0</v>
      </c>
      <c r="G19" s="11"/>
    </row>
    <row r="20" spans="1:7" x14ac:dyDescent="0.25">
      <c r="A20" s="6">
        <f t="shared" si="0"/>
        <v>19</v>
      </c>
      <c r="B20" s="16" t="s">
        <v>16</v>
      </c>
      <c r="C20" s="14"/>
      <c r="D20" s="17"/>
      <c r="E20" s="17"/>
      <c r="F20" s="10">
        <f t="shared" si="1"/>
        <v>0</v>
      </c>
      <c r="G20" s="11"/>
    </row>
    <row r="21" spans="1:7" ht="15.75" customHeight="1" thickBot="1" x14ac:dyDescent="0.3">
      <c r="A21" s="6">
        <f t="shared" si="0"/>
        <v>20</v>
      </c>
      <c r="B21" s="16" t="s">
        <v>17</v>
      </c>
      <c r="C21" s="18"/>
      <c r="D21" s="19"/>
      <c r="E21" s="17"/>
      <c r="F21" s="10">
        <f t="shared" si="1"/>
        <v>0</v>
      </c>
      <c r="G21" s="11"/>
    </row>
    <row r="22" spans="1:7" ht="15.75" customHeight="1" thickBot="1" x14ac:dyDescent="0.3">
      <c r="A22" s="20"/>
      <c r="B22" s="21" t="s">
        <v>18</v>
      </c>
      <c r="C22" s="22"/>
      <c r="D22" s="22"/>
      <c r="E22" s="23"/>
      <c r="F22" s="24">
        <f>SUM(F2:F21)</f>
        <v>-0.44791666666666669</v>
      </c>
      <c r="G22" s="25"/>
    </row>
    <row r="25" spans="1:7" ht="15.75" customHeight="1" thickBot="1" x14ac:dyDescent="0.3"/>
    <row r="26" spans="1:7" ht="15.75" customHeight="1" thickBot="1" x14ac:dyDescent="0.3">
      <c r="A26" s="26" t="s">
        <v>0</v>
      </c>
      <c r="B26" s="75" t="s">
        <v>1</v>
      </c>
      <c r="C26" s="26" t="s">
        <v>19</v>
      </c>
    </row>
    <row r="27" spans="1:7" x14ac:dyDescent="0.25">
      <c r="A27" s="28">
        <v>1</v>
      </c>
      <c r="B27" s="76" t="s">
        <v>295</v>
      </c>
      <c r="C27" s="30">
        <v>4.1666666666666657E-2</v>
      </c>
    </row>
    <row r="28" spans="1:7" x14ac:dyDescent="0.25">
      <c r="A28" s="28">
        <v>2</v>
      </c>
      <c r="B28" s="76" t="s">
        <v>296</v>
      </c>
      <c r="C28" s="30">
        <v>0.1041666666666667</v>
      </c>
    </row>
    <row r="29" spans="1:7" x14ac:dyDescent="0.25">
      <c r="A29" s="28">
        <v>3</v>
      </c>
      <c r="B29" s="76" t="s">
        <v>297</v>
      </c>
      <c r="C29" s="30">
        <v>2.0833333333333329E-2</v>
      </c>
    </row>
    <row r="30" spans="1:7" x14ac:dyDescent="0.25">
      <c r="A30" s="28">
        <v>4</v>
      </c>
      <c r="B30" s="76" t="s">
        <v>298</v>
      </c>
      <c r="C30" s="30">
        <v>1.7361111111111108E-2</v>
      </c>
    </row>
    <row r="31" spans="1:7" x14ac:dyDescent="0.25">
      <c r="A31" s="28">
        <v>5</v>
      </c>
      <c r="B31" s="76" t="s">
        <v>299</v>
      </c>
      <c r="C31" s="30">
        <v>1.7361111111111108E-2</v>
      </c>
    </row>
    <row r="32" spans="1:7" x14ac:dyDescent="0.25">
      <c r="A32" s="28">
        <v>6</v>
      </c>
      <c r="B32" s="76" t="s">
        <v>300</v>
      </c>
      <c r="C32" s="30">
        <v>1.388888888888889E-2</v>
      </c>
    </row>
    <row r="33" spans="1:5" ht="15.75" customHeight="1" thickBot="1" x14ac:dyDescent="0.3">
      <c r="A33" s="43">
        <v>7</v>
      </c>
      <c r="B33" s="77" t="s">
        <v>301</v>
      </c>
      <c r="C33" s="30">
        <v>8.3333333333333329E-2</v>
      </c>
      <c r="E33" s="32">
        <f>SUM(C27:C33)</f>
        <v>0.2986111111111111</v>
      </c>
    </row>
    <row r="34" spans="1:5" x14ac:dyDescent="0.25">
      <c r="A34" s="73">
        <v>8</v>
      </c>
      <c r="C34" s="30"/>
    </row>
    <row r="35" spans="1:5" x14ac:dyDescent="0.25">
      <c r="A35" s="28">
        <v>9</v>
      </c>
      <c r="B35" s="29"/>
      <c r="C35" s="30"/>
    </row>
    <row r="36" spans="1:5" x14ac:dyDescent="0.25">
      <c r="A36" s="28">
        <v>10</v>
      </c>
      <c r="B36" s="29"/>
      <c r="C36" s="30"/>
    </row>
    <row r="37" spans="1:5" x14ac:dyDescent="0.25">
      <c r="A37" s="28">
        <v>11</v>
      </c>
      <c r="B37" s="29"/>
      <c r="C37" s="30"/>
    </row>
    <row r="38" spans="1:5" x14ac:dyDescent="0.25">
      <c r="A38" s="28">
        <v>12</v>
      </c>
      <c r="B38" s="29"/>
      <c r="C38" s="30"/>
    </row>
    <row r="39" spans="1:5" x14ac:dyDescent="0.25">
      <c r="A39" s="28">
        <v>13</v>
      </c>
      <c r="B39" s="29"/>
      <c r="C39" s="30"/>
    </row>
    <row r="40" spans="1:5" x14ac:dyDescent="0.25">
      <c r="A40" s="28">
        <v>14</v>
      </c>
      <c r="B40" s="29"/>
      <c r="C40" s="30"/>
    </row>
    <row r="41" spans="1:5" x14ac:dyDescent="0.25">
      <c r="A41" s="28">
        <v>15</v>
      </c>
      <c r="B41" s="29"/>
      <c r="C41" s="30"/>
    </row>
    <row r="42" spans="1:5" x14ac:dyDescent="0.25">
      <c r="A42" s="28">
        <v>16</v>
      </c>
      <c r="B42" s="29"/>
      <c r="C42" s="30"/>
    </row>
    <row r="43" spans="1:5" x14ac:dyDescent="0.25">
      <c r="A43" s="28">
        <v>17</v>
      </c>
      <c r="B43" s="29"/>
      <c r="C43" s="30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L53"/>
  <sheetViews>
    <sheetView topLeftCell="A15" workbookViewId="0">
      <selection activeCell="B39" sqref="B39"/>
    </sheetView>
  </sheetViews>
  <sheetFormatPr defaultRowHeight="15" x14ac:dyDescent="0.25"/>
  <cols>
    <col min="1" max="1" width="6.7109375" bestFit="1" customWidth="1"/>
    <col min="2" max="2" width="56.7109375" customWidth="1"/>
    <col min="3" max="6" width="6" customWidth="1"/>
    <col min="7" max="7" width="10.42578125" bestFit="1" customWidth="1"/>
  </cols>
  <sheetData>
    <row r="1" spans="1:12" ht="15.75" customHeight="1" thickBot="1" x14ac:dyDescent="0.3">
      <c r="A1" s="1" t="s">
        <v>0</v>
      </c>
      <c r="B1" s="2" t="s">
        <v>1</v>
      </c>
      <c r="C1" s="79" t="s">
        <v>2</v>
      </c>
      <c r="D1" s="80" t="s">
        <v>3</v>
      </c>
      <c r="E1" s="80" t="s">
        <v>4</v>
      </c>
      <c r="F1" s="81" t="s">
        <v>5</v>
      </c>
      <c r="G1" s="2" t="s">
        <v>6</v>
      </c>
    </row>
    <row r="2" spans="1:12" x14ac:dyDescent="0.25">
      <c r="A2" s="6">
        <f t="shared" ref="A2:A17" si="0">ROW() - ROW($A$1)</f>
        <v>1</v>
      </c>
      <c r="B2" s="7" t="s">
        <v>302</v>
      </c>
      <c r="C2" s="82">
        <v>0.42708333333333331</v>
      </c>
      <c r="D2" s="83">
        <v>0.44097222222222221</v>
      </c>
      <c r="E2" s="83"/>
      <c r="F2" s="84">
        <f t="shared" ref="F2:F8" si="1">D2-C2</f>
        <v>1.3888888888888895E-2</v>
      </c>
      <c r="G2" s="78" t="s">
        <v>303</v>
      </c>
      <c r="I2" s="12" t="s">
        <v>8</v>
      </c>
    </row>
    <row r="3" spans="1:12" x14ac:dyDescent="0.25">
      <c r="A3" s="6">
        <f t="shared" si="0"/>
        <v>2</v>
      </c>
      <c r="B3" s="13" t="s">
        <v>304</v>
      </c>
      <c r="C3" s="85">
        <v>0.44097222222222221</v>
      </c>
      <c r="D3" s="84">
        <v>0.44791666666666669</v>
      </c>
      <c r="E3" s="84"/>
      <c r="F3" s="84">
        <f t="shared" si="1"/>
        <v>6.9444444444444753E-3</v>
      </c>
      <c r="G3" s="78" t="s">
        <v>303</v>
      </c>
    </row>
    <row r="4" spans="1:12" x14ac:dyDescent="0.25">
      <c r="A4" s="6">
        <f t="shared" si="0"/>
        <v>3</v>
      </c>
      <c r="B4" s="15" t="s">
        <v>305</v>
      </c>
      <c r="C4" s="85">
        <v>0.44791666666666669</v>
      </c>
      <c r="D4" s="84">
        <v>0.46180555555555558</v>
      </c>
      <c r="E4" s="84"/>
      <c r="F4" s="84">
        <f t="shared" si="1"/>
        <v>1.3888888888888895E-2</v>
      </c>
      <c r="G4" s="78" t="s">
        <v>303</v>
      </c>
    </row>
    <row r="5" spans="1:12" x14ac:dyDescent="0.25">
      <c r="A5" s="6">
        <f t="shared" si="0"/>
        <v>4</v>
      </c>
      <c r="B5" s="13" t="s">
        <v>306</v>
      </c>
      <c r="C5" s="85">
        <v>0.46180555555555558</v>
      </c>
      <c r="D5" s="84">
        <v>0.46527777777777779</v>
      </c>
      <c r="E5" s="84"/>
      <c r="F5" s="84">
        <f t="shared" si="1"/>
        <v>3.4722222222222099E-3</v>
      </c>
      <c r="G5" s="78" t="s">
        <v>303</v>
      </c>
      <c r="J5" s="13" t="s">
        <v>11</v>
      </c>
    </row>
    <row r="6" spans="1:12" x14ac:dyDescent="0.25">
      <c r="A6" s="6">
        <f t="shared" si="0"/>
        <v>5</v>
      </c>
      <c r="B6" s="13" t="s">
        <v>307</v>
      </c>
      <c r="C6" s="85">
        <v>0.46527777777777779</v>
      </c>
      <c r="D6" s="84">
        <v>0.46875</v>
      </c>
      <c r="E6" s="84"/>
      <c r="F6" s="84">
        <f t="shared" si="1"/>
        <v>3.4722222222222099E-3</v>
      </c>
      <c r="G6" s="78" t="s">
        <v>303</v>
      </c>
      <c r="J6" s="13" t="s">
        <v>12</v>
      </c>
    </row>
    <row r="7" spans="1:12" x14ac:dyDescent="0.25">
      <c r="A7" s="6">
        <f t="shared" si="0"/>
        <v>6</v>
      </c>
      <c r="B7" s="15" t="s">
        <v>308</v>
      </c>
      <c r="C7" s="85">
        <v>0.46875</v>
      </c>
      <c r="D7" s="84">
        <v>0.4826388888888889</v>
      </c>
      <c r="E7" s="84"/>
      <c r="F7" s="84">
        <f t="shared" si="1"/>
        <v>1.3888888888888895E-2</v>
      </c>
      <c r="G7" s="78" t="s">
        <v>303</v>
      </c>
    </row>
    <row r="8" spans="1:12" x14ac:dyDescent="0.25">
      <c r="A8" s="6">
        <f t="shared" si="0"/>
        <v>7</v>
      </c>
      <c r="B8" s="15" t="s">
        <v>309</v>
      </c>
      <c r="C8" s="85">
        <v>0.4826388888888889</v>
      </c>
      <c r="D8" s="84">
        <v>0.49652777777777779</v>
      </c>
      <c r="E8" s="84"/>
      <c r="F8" s="84">
        <f t="shared" si="1"/>
        <v>1.3888888888888895E-2</v>
      </c>
      <c r="G8" s="78" t="s">
        <v>303</v>
      </c>
      <c r="J8" t="s">
        <v>310</v>
      </c>
      <c r="K8" t="s">
        <v>311</v>
      </c>
      <c r="L8" t="s">
        <v>312</v>
      </c>
    </row>
    <row r="9" spans="1:12" x14ac:dyDescent="0.25">
      <c r="A9" s="6">
        <f t="shared" si="0"/>
        <v>8</v>
      </c>
      <c r="B9" s="15" t="s">
        <v>313</v>
      </c>
      <c r="C9" s="85">
        <f>D8</f>
        <v>0.49652777777777779</v>
      </c>
      <c r="D9" s="84">
        <f>C9+F9</f>
        <v>0.50347222222222221</v>
      </c>
      <c r="E9" s="84"/>
      <c r="F9" s="84">
        <v>6.9444444444444441E-3</v>
      </c>
      <c r="G9" s="78"/>
      <c r="J9" s="91" t="s">
        <v>314</v>
      </c>
      <c r="K9" t="s">
        <v>315</v>
      </c>
      <c r="L9">
        <v>1</v>
      </c>
    </row>
    <row r="10" spans="1:12" x14ac:dyDescent="0.25">
      <c r="A10" s="6">
        <f t="shared" si="0"/>
        <v>9</v>
      </c>
      <c r="B10" s="13" t="s">
        <v>316</v>
      </c>
      <c r="C10" s="85">
        <f>D9</f>
        <v>0.50347222222222221</v>
      </c>
      <c r="D10" s="84">
        <f>C10+F10</f>
        <v>0.50694444444444442</v>
      </c>
      <c r="E10" s="84"/>
      <c r="F10" s="84">
        <v>3.472222222222222E-3</v>
      </c>
      <c r="G10" s="78"/>
      <c r="J10" s="90"/>
      <c r="K10" t="s">
        <v>311</v>
      </c>
      <c r="L10">
        <v>4</v>
      </c>
    </row>
    <row r="11" spans="1:12" x14ac:dyDescent="0.25">
      <c r="A11" s="6">
        <f t="shared" si="0"/>
        <v>10</v>
      </c>
      <c r="B11" s="15" t="s">
        <v>317</v>
      </c>
      <c r="C11" s="85"/>
      <c r="D11" s="86"/>
      <c r="E11" s="86"/>
      <c r="F11" s="84">
        <v>1.388888888888889E-2</v>
      </c>
      <c r="G11" s="78"/>
      <c r="J11" s="91" t="s">
        <v>318</v>
      </c>
      <c r="K11" t="s">
        <v>315</v>
      </c>
      <c r="L11">
        <v>0</v>
      </c>
    </row>
    <row r="12" spans="1:12" x14ac:dyDescent="0.25">
      <c r="A12" s="6">
        <f t="shared" si="0"/>
        <v>11</v>
      </c>
      <c r="B12" s="13" t="s">
        <v>319</v>
      </c>
      <c r="C12" s="85"/>
      <c r="D12" s="86"/>
      <c r="E12" s="86"/>
      <c r="F12" s="84">
        <f t="shared" ref="F12:F17" si="2">D12-C12</f>
        <v>0</v>
      </c>
      <c r="G12" s="78"/>
      <c r="J12" s="90"/>
      <c r="K12" t="s">
        <v>311</v>
      </c>
      <c r="L12">
        <v>8</v>
      </c>
    </row>
    <row r="13" spans="1:12" x14ac:dyDescent="0.25">
      <c r="A13" s="6">
        <f t="shared" si="0"/>
        <v>12</v>
      </c>
      <c r="B13" s="13" t="s">
        <v>320</v>
      </c>
      <c r="C13" s="85"/>
      <c r="D13" s="86"/>
      <c r="E13" s="86"/>
      <c r="F13" s="84">
        <f t="shared" si="2"/>
        <v>0</v>
      </c>
      <c r="G13" s="78"/>
    </row>
    <row r="14" spans="1:12" x14ac:dyDescent="0.25">
      <c r="A14" s="6">
        <f t="shared" si="0"/>
        <v>13</v>
      </c>
      <c r="B14" s="15" t="s">
        <v>321</v>
      </c>
      <c r="C14" s="85"/>
      <c r="D14" s="86"/>
      <c r="E14" s="86"/>
      <c r="F14" s="84">
        <f t="shared" si="2"/>
        <v>0</v>
      </c>
      <c r="G14" s="78"/>
    </row>
    <row r="15" spans="1:12" x14ac:dyDescent="0.25">
      <c r="A15" s="6">
        <f t="shared" si="0"/>
        <v>14</v>
      </c>
      <c r="B15" s="13" t="s">
        <v>322</v>
      </c>
      <c r="C15" s="85"/>
      <c r="D15" s="86"/>
      <c r="E15" s="86"/>
      <c r="F15" s="84">
        <f t="shared" si="2"/>
        <v>0</v>
      </c>
      <c r="G15" s="78"/>
    </row>
    <row r="16" spans="1:12" x14ac:dyDescent="0.25">
      <c r="A16" s="6">
        <f t="shared" si="0"/>
        <v>15</v>
      </c>
      <c r="B16" s="13" t="s">
        <v>323</v>
      </c>
      <c r="C16" s="85"/>
      <c r="D16" s="86"/>
      <c r="E16" s="86"/>
      <c r="F16" s="84">
        <f t="shared" si="2"/>
        <v>0</v>
      </c>
      <c r="G16" s="78"/>
    </row>
    <row r="17" spans="1:7" x14ac:dyDescent="0.25">
      <c r="A17" s="6">
        <f t="shared" si="0"/>
        <v>16</v>
      </c>
      <c r="B17" s="15" t="s">
        <v>324</v>
      </c>
      <c r="C17" s="85"/>
      <c r="D17" s="86"/>
      <c r="E17" s="86"/>
      <c r="F17" s="84">
        <f t="shared" si="2"/>
        <v>0</v>
      </c>
      <c r="G17" s="78"/>
    </row>
    <row r="18" spans="1:7" x14ac:dyDescent="0.25">
      <c r="A18" s="6"/>
      <c r="B18" s="13" t="s">
        <v>325</v>
      </c>
      <c r="C18" s="85"/>
      <c r="D18" s="86"/>
      <c r="E18" s="86"/>
      <c r="F18" s="84"/>
      <c r="G18" s="78"/>
    </row>
    <row r="19" spans="1:7" x14ac:dyDescent="0.25">
      <c r="A19" s="6"/>
      <c r="B19" s="13" t="s">
        <v>326</v>
      </c>
      <c r="C19" s="85"/>
      <c r="D19" s="86"/>
      <c r="E19" s="86"/>
      <c r="F19" s="84"/>
      <c r="G19" s="78"/>
    </row>
    <row r="20" spans="1:7" x14ac:dyDescent="0.25">
      <c r="A20" s="6"/>
      <c r="B20" s="13" t="s">
        <v>327</v>
      </c>
      <c r="C20" s="85"/>
      <c r="D20" s="86"/>
      <c r="E20" s="86"/>
      <c r="F20" s="84"/>
      <c r="G20" s="78"/>
    </row>
    <row r="21" spans="1:7" x14ac:dyDescent="0.25">
      <c r="A21" s="6"/>
      <c r="B21" s="13" t="s">
        <v>328</v>
      </c>
      <c r="C21" s="85"/>
      <c r="D21" s="86"/>
      <c r="E21" s="86"/>
      <c r="F21" s="84"/>
      <c r="G21" s="78"/>
    </row>
    <row r="22" spans="1:7" x14ac:dyDescent="0.25">
      <c r="A22" s="6"/>
      <c r="B22" s="13" t="s">
        <v>329</v>
      </c>
      <c r="C22" s="85"/>
      <c r="D22" s="86"/>
      <c r="E22" s="86"/>
      <c r="F22" s="84"/>
      <c r="G22" s="78"/>
    </row>
    <row r="23" spans="1:7" x14ac:dyDescent="0.25">
      <c r="A23" s="6"/>
      <c r="B23" s="13"/>
      <c r="C23" s="85"/>
      <c r="D23" s="86"/>
      <c r="E23" s="86"/>
      <c r="F23" s="84"/>
      <c r="G23" s="78"/>
    </row>
    <row r="24" spans="1:7" x14ac:dyDescent="0.25">
      <c r="A24" s="6"/>
      <c r="B24" s="13"/>
      <c r="C24" s="85"/>
      <c r="D24" s="86"/>
      <c r="E24" s="86"/>
      <c r="F24" s="84"/>
      <c r="G24" s="78"/>
    </row>
    <row r="25" spans="1:7" x14ac:dyDescent="0.25">
      <c r="A25" s="6"/>
      <c r="B25" s="13"/>
      <c r="C25" s="85"/>
      <c r="D25" s="86"/>
      <c r="E25" s="86"/>
      <c r="F25" s="84"/>
      <c r="G25" s="78"/>
    </row>
    <row r="26" spans="1:7" x14ac:dyDescent="0.25">
      <c r="A26" s="6"/>
      <c r="B26" s="13"/>
      <c r="C26" s="85"/>
      <c r="D26" s="86"/>
      <c r="E26" s="86"/>
      <c r="F26" s="84"/>
      <c r="G26" s="78"/>
    </row>
    <row r="27" spans="1:7" x14ac:dyDescent="0.25">
      <c r="A27" s="6"/>
      <c r="B27" s="13"/>
      <c r="C27" s="85"/>
      <c r="D27" s="86"/>
      <c r="E27" s="86"/>
      <c r="F27" s="84"/>
      <c r="G27" s="78"/>
    </row>
    <row r="28" spans="1:7" x14ac:dyDescent="0.25">
      <c r="A28" s="6">
        <f>ROW() - ROW($A$1)</f>
        <v>27</v>
      </c>
      <c r="B28" s="16" t="s">
        <v>14</v>
      </c>
      <c r="C28" s="85"/>
      <c r="D28" s="86"/>
      <c r="E28" s="86"/>
      <c r="F28" s="84">
        <f>D28-C28</f>
        <v>0</v>
      </c>
      <c r="G28" s="78"/>
    </row>
    <row r="29" spans="1:7" x14ac:dyDescent="0.25">
      <c r="A29" s="6">
        <f>ROW() - ROW($A$1)</f>
        <v>28</v>
      </c>
      <c r="B29" s="16" t="s">
        <v>15</v>
      </c>
      <c r="C29" s="85"/>
      <c r="D29" s="86"/>
      <c r="E29" s="86"/>
      <c r="F29" s="84">
        <f>D29-C29</f>
        <v>0</v>
      </c>
      <c r="G29" s="78"/>
    </row>
    <row r="30" spans="1:7" x14ac:dyDescent="0.25">
      <c r="A30" s="6">
        <f>ROW() - ROW($A$1)</f>
        <v>29</v>
      </c>
      <c r="B30" s="16" t="s">
        <v>16</v>
      </c>
      <c r="C30" s="85"/>
      <c r="D30" s="86"/>
      <c r="E30" s="86"/>
      <c r="F30" s="84">
        <f>D30-C30</f>
        <v>0</v>
      </c>
      <c r="G30" s="78"/>
    </row>
    <row r="31" spans="1:7" ht="15.75" customHeight="1" thickBot="1" x14ac:dyDescent="0.3">
      <c r="A31" s="6">
        <f>ROW() - ROW($A$1)</f>
        <v>30</v>
      </c>
      <c r="B31" s="16" t="s">
        <v>17</v>
      </c>
      <c r="C31" s="87"/>
      <c r="D31" s="88"/>
      <c r="E31" s="86"/>
      <c r="F31" s="84">
        <f>D31-C31</f>
        <v>0</v>
      </c>
      <c r="G31" s="78"/>
    </row>
    <row r="32" spans="1:7" ht="15.75" customHeight="1" thickBot="1" x14ac:dyDescent="0.3">
      <c r="A32" s="20"/>
      <c r="B32" s="21" t="s">
        <v>18</v>
      </c>
      <c r="C32" s="22"/>
      <c r="D32" s="22"/>
      <c r="E32" s="23"/>
      <c r="F32" s="24">
        <f>SUM(F2:F31)</f>
        <v>9.3750000000000042E-2</v>
      </c>
      <c r="G32" s="25"/>
    </row>
    <row r="35" spans="1:3" ht="15.75" customHeight="1" thickBot="1" x14ac:dyDescent="0.3"/>
    <row r="36" spans="1:3" ht="15.75" customHeight="1" thickBot="1" x14ac:dyDescent="0.3">
      <c r="A36" s="26" t="s">
        <v>0</v>
      </c>
      <c r="B36" s="75" t="s">
        <v>1</v>
      </c>
      <c r="C36" s="26" t="s">
        <v>19</v>
      </c>
    </row>
    <row r="37" spans="1:3" x14ac:dyDescent="0.25">
      <c r="A37" s="28">
        <v>1</v>
      </c>
      <c r="B37" s="76" t="s">
        <v>295</v>
      </c>
      <c r="C37" s="30"/>
    </row>
    <row r="38" spans="1:3" x14ac:dyDescent="0.25">
      <c r="A38" s="28">
        <v>2</v>
      </c>
      <c r="B38" s="76" t="s">
        <v>296</v>
      </c>
      <c r="C38" s="30"/>
    </row>
    <row r="39" spans="1:3" x14ac:dyDescent="0.25">
      <c r="A39" s="28">
        <v>3</v>
      </c>
      <c r="B39" s="76" t="s">
        <v>297</v>
      </c>
      <c r="C39" s="30"/>
    </row>
    <row r="40" spans="1:3" x14ac:dyDescent="0.25">
      <c r="A40" s="28">
        <v>4</v>
      </c>
      <c r="B40" s="76" t="s">
        <v>298</v>
      </c>
      <c r="C40" s="30"/>
    </row>
    <row r="41" spans="1:3" x14ac:dyDescent="0.25">
      <c r="A41" s="28">
        <v>5</v>
      </c>
      <c r="B41" s="76" t="s">
        <v>300</v>
      </c>
      <c r="C41" s="30"/>
    </row>
    <row r="42" spans="1:3" ht="15" customHeight="1" thickBot="1" x14ac:dyDescent="0.3">
      <c r="A42" s="43">
        <v>6</v>
      </c>
      <c r="B42" s="77" t="s">
        <v>301</v>
      </c>
      <c r="C42" s="30"/>
    </row>
    <row r="43" spans="1:3" x14ac:dyDescent="0.25">
      <c r="A43" s="73">
        <v>7</v>
      </c>
      <c r="B43" s="74"/>
      <c r="C43" s="30"/>
    </row>
    <row r="44" spans="1:3" x14ac:dyDescent="0.25">
      <c r="A44" s="28">
        <v>8</v>
      </c>
      <c r="B44" s="29"/>
      <c r="C44" s="30"/>
    </row>
    <row r="45" spans="1:3" x14ac:dyDescent="0.25">
      <c r="A45" s="28">
        <v>9</v>
      </c>
      <c r="B45" s="29"/>
      <c r="C45" s="30"/>
    </row>
    <row r="46" spans="1:3" x14ac:dyDescent="0.25">
      <c r="A46" s="28">
        <v>10</v>
      </c>
      <c r="B46" s="29"/>
      <c r="C46" s="30"/>
    </row>
    <row r="47" spans="1:3" x14ac:dyDescent="0.25">
      <c r="A47" s="28">
        <v>11</v>
      </c>
      <c r="B47" s="29"/>
      <c r="C47" s="30"/>
    </row>
    <row r="48" spans="1:3" x14ac:dyDescent="0.25">
      <c r="A48" s="28">
        <v>12</v>
      </c>
      <c r="B48" s="29"/>
      <c r="C48" s="30"/>
    </row>
    <row r="49" spans="1:3" x14ac:dyDescent="0.25">
      <c r="A49" s="28">
        <v>13</v>
      </c>
      <c r="B49" s="29"/>
      <c r="C49" s="30"/>
    </row>
    <row r="50" spans="1:3" x14ac:dyDescent="0.25">
      <c r="A50" s="28">
        <v>14</v>
      </c>
      <c r="B50" s="29"/>
      <c r="C50" s="30"/>
    </row>
    <row r="51" spans="1:3" x14ac:dyDescent="0.25">
      <c r="A51" s="28">
        <v>15</v>
      </c>
      <c r="B51" s="29"/>
      <c r="C51" s="30"/>
    </row>
    <row r="52" spans="1:3" x14ac:dyDescent="0.25">
      <c r="A52" s="28">
        <v>16</v>
      </c>
      <c r="B52" s="29"/>
      <c r="C52" s="30"/>
    </row>
    <row r="53" spans="1:3" x14ac:dyDescent="0.25">
      <c r="A53" s="28">
        <v>17</v>
      </c>
      <c r="B53" s="29"/>
      <c r="C53" s="30"/>
    </row>
  </sheetData>
  <mergeCells count="2">
    <mergeCell ref="J9:J10"/>
    <mergeCell ref="J11:J12"/>
  </mergeCells>
  <conditionalFormatting sqref="G2:G31">
    <cfRule type="expression" dxfId="5" priority="1">
      <formula>SEARCH("In-Progress", G2)</formula>
    </cfRule>
    <cfRule type="expression" dxfId="4" priority="2">
      <formula>SEARCH("Incomplete", G2)</formula>
    </cfRule>
    <cfRule type="expression" dxfId="3" priority="3">
      <formula>SEARCH("Completed", G2)</formula>
    </cfRule>
  </conditionalFormatting>
  <dataValidations count="1">
    <dataValidation type="list" allowBlank="1" showInputMessage="1" showErrorMessage="1" sqref="G2:G31" xr:uid="{00000000-0002-0000-1700-000000000000}">
      <formula1>"Completed, Incomplete, In-Progress"</formula1>
    </dataValidation>
  </dataValidation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I109"/>
  <sheetViews>
    <sheetView tabSelected="1" topLeftCell="A4" workbookViewId="0">
      <selection activeCell="G23" sqref="G23"/>
    </sheetView>
  </sheetViews>
  <sheetFormatPr defaultRowHeight="15" x14ac:dyDescent="0.25"/>
  <cols>
    <col min="1" max="1" width="6.7109375" bestFit="1" customWidth="1"/>
    <col min="2" max="2" width="83.28515625" bestFit="1" customWidth="1"/>
    <col min="3" max="6" width="7.42578125" customWidth="1"/>
    <col min="7" max="7" width="11.140625" customWidth="1"/>
  </cols>
  <sheetData>
    <row r="1" spans="1:9" ht="15.75" customHeight="1" thickBot="1" x14ac:dyDescent="0.3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2" t="s">
        <v>6</v>
      </c>
    </row>
    <row r="2" spans="1:9" x14ac:dyDescent="0.25">
      <c r="A2" s="6">
        <f t="shared" ref="A2:A43" si="0">ROW() - ROW($A$1)</f>
        <v>1</v>
      </c>
      <c r="B2" s="7" t="s">
        <v>302</v>
      </c>
      <c r="C2" s="82">
        <v>0.42708333333333331</v>
      </c>
      <c r="D2" s="83">
        <v>0.44097222222222221</v>
      </c>
      <c r="E2" s="83"/>
      <c r="F2" s="84">
        <f t="shared" ref="F2:F43" si="1">D2-C2</f>
        <v>1.3888888888888895E-2</v>
      </c>
      <c r="G2" s="78" t="s">
        <v>303</v>
      </c>
      <c r="I2" s="35" t="s">
        <v>8</v>
      </c>
    </row>
    <row r="3" spans="1:9" x14ac:dyDescent="0.25">
      <c r="A3" s="6">
        <f t="shared" si="0"/>
        <v>2</v>
      </c>
      <c r="B3" s="13" t="s">
        <v>304</v>
      </c>
      <c r="C3" s="85">
        <f>D2</f>
        <v>0.44097222222222221</v>
      </c>
      <c r="D3" s="84">
        <v>0.44444444444444442</v>
      </c>
      <c r="E3" s="84"/>
      <c r="F3" s="84">
        <f t="shared" si="1"/>
        <v>3.4722222222222099E-3</v>
      </c>
      <c r="G3" s="78" t="s">
        <v>303</v>
      </c>
    </row>
    <row r="4" spans="1:9" x14ac:dyDescent="0.25">
      <c r="A4" s="6">
        <f t="shared" si="0"/>
        <v>3</v>
      </c>
      <c r="B4" s="15" t="s">
        <v>305</v>
      </c>
      <c r="C4" s="85">
        <f>D3</f>
        <v>0.44444444444444442</v>
      </c>
      <c r="D4" s="84">
        <v>0.4548611111111111</v>
      </c>
      <c r="E4" s="84"/>
      <c r="F4" s="84">
        <f t="shared" si="1"/>
        <v>1.0416666666666685E-2</v>
      </c>
      <c r="G4" s="78" t="s">
        <v>303</v>
      </c>
    </row>
    <row r="5" spans="1:9" x14ac:dyDescent="0.25">
      <c r="A5" s="6">
        <f t="shared" si="0"/>
        <v>4</v>
      </c>
      <c r="B5" s="13" t="s">
        <v>332</v>
      </c>
      <c r="C5" s="85">
        <f>D4</f>
        <v>0.4548611111111111</v>
      </c>
      <c r="D5" s="84">
        <v>0.46180555555555558</v>
      </c>
      <c r="E5" s="84"/>
      <c r="F5" s="84">
        <f t="shared" si="1"/>
        <v>6.9444444444444753E-3</v>
      </c>
      <c r="G5" s="78" t="s">
        <v>303</v>
      </c>
    </row>
    <row r="6" spans="1:9" x14ac:dyDescent="0.25">
      <c r="A6" s="6">
        <f t="shared" si="0"/>
        <v>5</v>
      </c>
      <c r="B6" s="13"/>
      <c r="C6" s="85"/>
      <c r="D6" s="84"/>
      <c r="E6" s="84"/>
      <c r="F6" s="84">
        <f t="shared" si="1"/>
        <v>0</v>
      </c>
      <c r="G6" s="78"/>
    </row>
    <row r="7" spans="1:9" x14ac:dyDescent="0.25">
      <c r="A7" s="6">
        <f t="shared" si="0"/>
        <v>6</v>
      </c>
      <c r="B7" s="16" t="s">
        <v>306</v>
      </c>
      <c r="C7" s="85">
        <v>0.46875</v>
      </c>
      <c r="D7" s="84"/>
      <c r="E7" s="84"/>
      <c r="F7" s="84">
        <f t="shared" si="1"/>
        <v>-0.46875</v>
      </c>
      <c r="G7" s="78" t="s">
        <v>303</v>
      </c>
    </row>
    <row r="8" spans="1:9" x14ac:dyDescent="0.25">
      <c r="A8" s="6">
        <f t="shared" si="0"/>
        <v>7</v>
      </c>
      <c r="B8" s="13" t="s">
        <v>307</v>
      </c>
      <c r="C8" s="85"/>
      <c r="D8" s="84"/>
      <c r="E8" s="84"/>
      <c r="F8" s="85">
        <f t="shared" si="1"/>
        <v>0</v>
      </c>
      <c r="G8" s="78" t="s">
        <v>303</v>
      </c>
    </row>
    <row r="9" spans="1:9" x14ac:dyDescent="0.25">
      <c r="A9" s="6">
        <f t="shared" si="0"/>
        <v>8</v>
      </c>
      <c r="B9" s="16" t="s">
        <v>308</v>
      </c>
      <c r="C9" s="85"/>
      <c r="D9" s="84"/>
      <c r="E9" s="84"/>
      <c r="F9" s="85">
        <f t="shared" si="1"/>
        <v>0</v>
      </c>
      <c r="G9" s="78" t="s">
        <v>303</v>
      </c>
    </row>
    <row r="10" spans="1:9" x14ac:dyDescent="0.25">
      <c r="A10" s="6">
        <f t="shared" si="0"/>
        <v>9</v>
      </c>
      <c r="B10" s="16"/>
      <c r="C10" s="85"/>
      <c r="D10" s="84"/>
      <c r="E10" s="84"/>
      <c r="F10" s="85">
        <f t="shared" si="1"/>
        <v>0</v>
      </c>
      <c r="G10" s="78"/>
    </row>
    <row r="11" spans="1:9" x14ac:dyDescent="0.25">
      <c r="A11" s="6">
        <f t="shared" si="0"/>
        <v>10</v>
      </c>
      <c r="B11" s="16" t="s">
        <v>309</v>
      </c>
      <c r="C11" s="85"/>
      <c r="D11" s="84"/>
      <c r="E11" s="84"/>
      <c r="F11" s="85">
        <f t="shared" si="1"/>
        <v>0</v>
      </c>
      <c r="G11" s="78" t="s">
        <v>303</v>
      </c>
    </row>
    <row r="12" spans="1:9" x14ac:dyDescent="0.25">
      <c r="A12" s="6">
        <f t="shared" si="0"/>
        <v>11</v>
      </c>
      <c r="B12" s="16"/>
      <c r="C12" s="85"/>
      <c r="D12" s="84"/>
      <c r="E12" s="84"/>
      <c r="F12" s="85">
        <f t="shared" si="1"/>
        <v>0</v>
      </c>
      <c r="G12" s="78"/>
    </row>
    <row r="13" spans="1:9" x14ac:dyDescent="0.25">
      <c r="A13" s="6">
        <f t="shared" si="0"/>
        <v>12</v>
      </c>
      <c r="B13" s="16" t="s">
        <v>313</v>
      </c>
      <c r="C13" s="85"/>
      <c r="D13" s="84"/>
      <c r="E13" s="84"/>
      <c r="F13" s="85">
        <f t="shared" si="1"/>
        <v>0</v>
      </c>
      <c r="G13" s="78" t="s">
        <v>303</v>
      </c>
    </row>
    <row r="14" spans="1:9" x14ac:dyDescent="0.25">
      <c r="A14" s="6">
        <f t="shared" si="0"/>
        <v>13</v>
      </c>
      <c r="B14" s="16" t="s">
        <v>317</v>
      </c>
      <c r="C14" s="85"/>
      <c r="D14" s="84"/>
      <c r="E14" s="84"/>
      <c r="F14" s="85">
        <f t="shared" si="1"/>
        <v>0</v>
      </c>
      <c r="G14" s="78" t="s">
        <v>303</v>
      </c>
    </row>
    <row r="15" spans="1:9" x14ac:dyDescent="0.25">
      <c r="A15" s="6">
        <f t="shared" si="0"/>
        <v>14</v>
      </c>
      <c r="B15" s="16"/>
      <c r="C15" s="85"/>
      <c r="D15" s="84"/>
      <c r="E15" s="84"/>
      <c r="F15" s="85">
        <f t="shared" si="1"/>
        <v>0</v>
      </c>
      <c r="G15" s="78"/>
    </row>
    <row r="16" spans="1:9" x14ac:dyDescent="0.25">
      <c r="A16" s="6">
        <f t="shared" si="0"/>
        <v>15</v>
      </c>
      <c r="B16" s="16" t="s">
        <v>319</v>
      </c>
      <c r="C16" s="85"/>
      <c r="D16" s="84"/>
      <c r="E16" s="84"/>
      <c r="F16" s="85">
        <f t="shared" si="1"/>
        <v>0</v>
      </c>
      <c r="G16" s="78" t="s">
        <v>303</v>
      </c>
    </row>
    <row r="17" spans="1:7" x14ac:dyDescent="0.25">
      <c r="A17" s="6">
        <f t="shared" si="0"/>
        <v>16</v>
      </c>
      <c r="B17" s="16" t="s">
        <v>321</v>
      </c>
      <c r="C17" s="85"/>
      <c r="D17" s="84"/>
      <c r="E17" s="84"/>
      <c r="F17" s="85">
        <f t="shared" si="1"/>
        <v>0</v>
      </c>
      <c r="G17" s="78" t="s">
        <v>303</v>
      </c>
    </row>
    <row r="18" spans="1:7" x14ac:dyDescent="0.25">
      <c r="A18" s="6">
        <f t="shared" si="0"/>
        <v>17</v>
      </c>
      <c r="B18" s="16"/>
      <c r="C18" s="85"/>
      <c r="D18" s="84"/>
      <c r="E18" s="84"/>
      <c r="F18" s="85">
        <f t="shared" si="1"/>
        <v>0</v>
      </c>
      <c r="G18" s="78"/>
    </row>
    <row r="19" spans="1:7" x14ac:dyDescent="0.25">
      <c r="A19" s="6">
        <f t="shared" si="0"/>
        <v>18</v>
      </c>
      <c r="B19" s="16" t="s">
        <v>322</v>
      </c>
      <c r="C19" s="85"/>
      <c r="D19" s="84"/>
      <c r="E19" s="84"/>
      <c r="F19" s="85">
        <f t="shared" si="1"/>
        <v>0</v>
      </c>
      <c r="G19" s="78" t="s">
        <v>303</v>
      </c>
    </row>
    <row r="20" spans="1:7" x14ac:dyDescent="0.25">
      <c r="A20" s="6">
        <f t="shared" si="0"/>
        <v>19</v>
      </c>
      <c r="B20" s="16" t="s">
        <v>324</v>
      </c>
      <c r="C20" s="85"/>
      <c r="D20" s="84"/>
      <c r="E20" s="84"/>
      <c r="F20" s="85">
        <f t="shared" si="1"/>
        <v>0</v>
      </c>
      <c r="G20" s="78" t="s">
        <v>333</v>
      </c>
    </row>
    <row r="21" spans="1:7" x14ac:dyDescent="0.25">
      <c r="A21" s="6">
        <f t="shared" si="0"/>
        <v>20</v>
      </c>
      <c r="B21" s="16"/>
      <c r="C21" s="85"/>
      <c r="D21" s="84"/>
      <c r="E21" s="84"/>
      <c r="F21" s="85">
        <f t="shared" si="1"/>
        <v>0</v>
      </c>
      <c r="G21" s="78"/>
    </row>
    <row r="22" spans="1:7" x14ac:dyDescent="0.25">
      <c r="A22" s="6">
        <f t="shared" si="0"/>
        <v>21</v>
      </c>
      <c r="B22" s="16" t="s">
        <v>325</v>
      </c>
      <c r="C22" s="85"/>
      <c r="D22" s="84"/>
      <c r="E22" s="84"/>
      <c r="F22" s="85">
        <f t="shared" si="1"/>
        <v>0</v>
      </c>
      <c r="G22" s="78"/>
    </row>
    <row r="23" spans="1:7" x14ac:dyDescent="0.25">
      <c r="A23" s="6">
        <f t="shared" si="0"/>
        <v>22</v>
      </c>
      <c r="B23" s="16" t="s">
        <v>326</v>
      </c>
      <c r="C23" s="85"/>
      <c r="D23" s="84"/>
      <c r="E23" s="84"/>
      <c r="F23" s="85">
        <f t="shared" si="1"/>
        <v>0</v>
      </c>
      <c r="G23" s="78" t="s">
        <v>303</v>
      </c>
    </row>
    <row r="24" spans="1:7" x14ac:dyDescent="0.25">
      <c r="A24" s="6">
        <f t="shared" si="0"/>
        <v>23</v>
      </c>
      <c r="B24" s="16" t="s">
        <v>327</v>
      </c>
      <c r="C24" s="85"/>
      <c r="D24" s="84"/>
      <c r="E24" s="84"/>
      <c r="F24" s="85">
        <f t="shared" si="1"/>
        <v>0</v>
      </c>
      <c r="G24" s="78"/>
    </row>
    <row r="25" spans="1:7" x14ac:dyDescent="0.25">
      <c r="A25" s="6">
        <f t="shared" si="0"/>
        <v>24</v>
      </c>
      <c r="B25" s="16" t="s">
        <v>329</v>
      </c>
      <c r="C25" s="85"/>
      <c r="D25" s="84"/>
      <c r="E25" s="84"/>
      <c r="F25" s="85">
        <f t="shared" si="1"/>
        <v>0</v>
      </c>
      <c r="G25" s="78"/>
    </row>
    <row r="26" spans="1:7" x14ac:dyDescent="0.25">
      <c r="A26" s="6">
        <f t="shared" si="0"/>
        <v>25</v>
      </c>
      <c r="B26" s="16" t="s">
        <v>329</v>
      </c>
      <c r="C26" s="85"/>
      <c r="D26" s="84"/>
      <c r="E26" s="84"/>
      <c r="F26" s="85">
        <f t="shared" si="1"/>
        <v>0</v>
      </c>
      <c r="G26" s="78"/>
    </row>
    <row r="27" spans="1:7" x14ac:dyDescent="0.25">
      <c r="A27" s="6">
        <f t="shared" si="0"/>
        <v>26</v>
      </c>
      <c r="B27" s="16"/>
      <c r="C27" s="85"/>
      <c r="D27" s="84"/>
      <c r="E27" s="84"/>
      <c r="F27" s="85">
        <f t="shared" si="1"/>
        <v>0</v>
      </c>
      <c r="G27" s="78"/>
    </row>
    <row r="28" spans="1:7" x14ac:dyDescent="0.25">
      <c r="A28" s="6">
        <f t="shared" si="0"/>
        <v>27</v>
      </c>
      <c r="B28" s="16" t="s">
        <v>330</v>
      </c>
      <c r="C28" s="85"/>
      <c r="D28" s="84"/>
      <c r="E28" s="84"/>
      <c r="F28" s="84">
        <f t="shared" si="1"/>
        <v>0</v>
      </c>
      <c r="G28" s="78"/>
    </row>
    <row r="29" spans="1:7" x14ac:dyDescent="0.25">
      <c r="A29" s="6">
        <f t="shared" si="0"/>
        <v>28</v>
      </c>
      <c r="B29" s="16"/>
      <c r="C29" s="85"/>
      <c r="D29" s="84"/>
      <c r="E29" s="84"/>
      <c r="F29" s="84">
        <f t="shared" si="1"/>
        <v>0</v>
      </c>
      <c r="G29" s="78"/>
    </row>
    <row r="30" spans="1:7" x14ac:dyDescent="0.25">
      <c r="A30" s="6">
        <f t="shared" si="0"/>
        <v>29</v>
      </c>
      <c r="B30" s="16" t="s">
        <v>331</v>
      </c>
      <c r="C30" s="85"/>
      <c r="D30" s="86"/>
      <c r="E30" s="86"/>
      <c r="F30" s="84">
        <f t="shared" si="1"/>
        <v>0</v>
      </c>
      <c r="G30" s="78"/>
    </row>
    <row r="31" spans="1:7" x14ac:dyDescent="0.25">
      <c r="A31" s="6">
        <f t="shared" si="0"/>
        <v>30</v>
      </c>
      <c r="B31" s="16"/>
      <c r="C31" s="85"/>
      <c r="D31" s="86"/>
      <c r="E31" s="86"/>
      <c r="F31" s="84">
        <f t="shared" si="1"/>
        <v>0</v>
      </c>
      <c r="G31" s="78"/>
    </row>
    <row r="32" spans="1:7" x14ac:dyDescent="0.25">
      <c r="A32" s="6">
        <f t="shared" si="0"/>
        <v>31</v>
      </c>
      <c r="B32" s="16"/>
      <c r="C32" s="85"/>
      <c r="D32" s="86"/>
      <c r="E32" s="86"/>
      <c r="F32" s="84">
        <f t="shared" si="1"/>
        <v>0</v>
      </c>
      <c r="G32" s="78"/>
    </row>
    <row r="33" spans="1:7" x14ac:dyDescent="0.25">
      <c r="A33" s="6">
        <f t="shared" si="0"/>
        <v>32</v>
      </c>
      <c r="B33" s="16"/>
      <c r="C33" s="85"/>
      <c r="D33" s="86"/>
      <c r="E33" s="86"/>
      <c r="F33" s="84">
        <f t="shared" si="1"/>
        <v>0</v>
      </c>
      <c r="G33" s="78"/>
    </row>
    <row r="34" spans="1:7" x14ac:dyDescent="0.25">
      <c r="A34" s="6">
        <f t="shared" si="0"/>
        <v>33</v>
      </c>
      <c r="B34" s="16"/>
      <c r="C34" s="85"/>
      <c r="D34" s="86"/>
      <c r="E34" s="86"/>
      <c r="F34" s="84">
        <f t="shared" si="1"/>
        <v>0</v>
      </c>
      <c r="G34" s="78"/>
    </row>
    <row r="35" spans="1:7" x14ac:dyDescent="0.25">
      <c r="A35" s="6">
        <f t="shared" si="0"/>
        <v>34</v>
      </c>
      <c r="B35" s="16"/>
      <c r="C35" s="85"/>
      <c r="D35" s="86"/>
      <c r="E35" s="86"/>
      <c r="F35" s="84">
        <f t="shared" si="1"/>
        <v>0</v>
      </c>
      <c r="G35" s="78"/>
    </row>
    <row r="36" spans="1:7" x14ac:dyDescent="0.25">
      <c r="A36" s="6">
        <f t="shared" si="0"/>
        <v>35</v>
      </c>
      <c r="B36" s="16"/>
      <c r="C36" s="85"/>
      <c r="D36" s="86"/>
      <c r="E36" s="86"/>
      <c r="F36" s="84">
        <f t="shared" si="1"/>
        <v>0</v>
      </c>
      <c r="G36" s="78"/>
    </row>
    <row r="37" spans="1:7" x14ac:dyDescent="0.25">
      <c r="A37" s="6">
        <f t="shared" si="0"/>
        <v>36</v>
      </c>
      <c r="B37" s="16"/>
      <c r="C37" s="85"/>
      <c r="D37" s="86"/>
      <c r="E37" s="86"/>
      <c r="F37" s="84">
        <f t="shared" si="1"/>
        <v>0</v>
      </c>
      <c r="G37" s="78"/>
    </row>
    <row r="38" spans="1:7" x14ac:dyDescent="0.25">
      <c r="A38" s="6">
        <f t="shared" si="0"/>
        <v>37</v>
      </c>
      <c r="B38" s="16"/>
      <c r="C38" s="85"/>
      <c r="D38" s="86"/>
      <c r="E38" s="86"/>
      <c r="F38" s="84">
        <f t="shared" si="1"/>
        <v>0</v>
      </c>
      <c r="G38" s="78"/>
    </row>
    <row r="39" spans="1:7" x14ac:dyDescent="0.25">
      <c r="A39" s="6">
        <f t="shared" si="0"/>
        <v>38</v>
      </c>
      <c r="B39" s="16"/>
      <c r="C39" s="85"/>
      <c r="D39" s="86"/>
      <c r="E39" s="86"/>
      <c r="F39" s="84">
        <f t="shared" si="1"/>
        <v>0</v>
      </c>
      <c r="G39" s="78"/>
    </row>
    <row r="40" spans="1:7" x14ac:dyDescent="0.25">
      <c r="A40" s="6">
        <f t="shared" si="0"/>
        <v>39</v>
      </c>
      <c r="B40" s="16" t="s">
        <v>14</v>
      </c>
      <c r="C40" s="85"/>
      <c r="D40" s="86"/>
      <c r="E40" s="86"/>
      <c r="F40" s="84">
        <f t="shared" si="1"/>
        <v>0</v>
      </c>
      <c r="G40" s="78"/>
    </row>
    <row r="41" spans="1:7" x14ac:dyDescent="0.25">
      <c r="A41" s="6">
        <f t="shared" si="0"/>
        <v>40</v>
      </c>
      <c r="B41" s="16" t="s">
        <v>15</v>
      </c>
      <c r="C41" s="85"/>
      <c r="D41" s="86"/>
      <c r="E41" s="86"/>
      <c r="F41" s="84">
        <f t="shared" si="1"/>
        <v>0</v>
      </c>
      <c r="G41" s="78"/>
    </row>
    <row r="42" spans="1:7" x14ac:dyDescent="0.25">
      <c r="A42" s="6">
        <f t="shared" si="0"/>
        <v>41</v>
      </c>
      <c r="B42" s="16" t="s">
        <v>16</v>
      </c>
      <c r="C42" s="85"/>
      <c r="D42" s="86"/>
      <c r="E42" s="86"/>
      <c r="F42" s="84">
        <f t="shared" si="1"/>
        <v>0</v>
      </c>
      <c r="G42" s="78"/>
    </row>
    <row r="43" spans="1:7" ht="15.75" customHeight="1" thickBot="1" x14ac:dyDescent="0.3">
      <c r="A43" s="6">
        <f t="shared" si="0"/>
        <v>42</v>
      </c>
      <c r="B43" s="16" t="s">
        <v>17</v>
      </c>
      <c r="C43" s="87"/>
      <c r="D43" s="88"/>
      <c r="E43" s="86"/>
      <c r="F43" s="84">
        <f t="shared" si="1"/>
        <v>0</v>
      </c>
      <c r="G43" s="78"/>
    </row>
    <row r="44" spans="1:7" ht="15.75" customHeight="1" thickBot="1" x14ac:dyDescent="0.3">
      <c r="A44" s="20"/>
      <c r="B44" s="21" t="s">
        <v>18</v>
      </c>
      <c r="C44" s="96"/>
      <c r="D44" s="96"/>
      <c r="E44" s="97"/>
      <c r="F44" s="98">
        <f>SUM(F2:F43)</f>
        <v>-0.43402777777777773</v>
      </c>
      <c r="G44" s="25"/>
    </row>
    <row r="47" spans="1:7" ht="15.75" customHeight="1" thickBot="1" x14ac:dyDescent="0.3"/>
    <row r="48" spans="1:7" ht="15.75" customHeight="1" thickBot="1" x14ac:dyDescent="0.3">
      <c r="A48" s="26" t="s">
        <v>0</v>
      </c>
      <c r="B48" s="27" t="s">
        <v>1</v>
      </c>
      <c r="C48" s="26" t="s">
        <v>19</v>
      </c>
    </row>
    <row r="49" spans="1:3" x14ac:dyDescent="0.25">
      <c r="A49" s="28">
        <v>1</v>
      </c>
      <c r="B49" s="29"/>
      <c r="C49" s="30"/>
    </row>
    <row r="50" spans="1:3" x14ac:dyDescent="0.25">
      <c r="A50" s="28">
        <v>2</v>
      </c>
      <c r="B50" s="29"/>
      <c r="C50" s="30"/>
    </row>
    <row r="51" spans="1:3" x14ac:dyDescent="0.25">
      <c r="A51" s="28">
        <v>3</v>
      </c>
      <c r="B51" s="29"/>
      <c r="C51" s="30"/>
    </row>
    <row r="52" spans="1:3" x14ac:dyDescent="0.25">
      <c r="A52" s="28">
        <v>4</v>
      </c>
      <c r="B52" s="29"/>
      <c r="C52" s="30"/>
    </row>
    <row r="53" spans="1:3" x14ac:dyDescent="0.25">
      <c r="A53" s="28">
        <v>5</v>
      </c>
      <c r="B53" s="29"/>
      <c r="C53" s="30"/>
    </row>
    <row r="54" spans="1:3" x14ac:dyDescent="0.25">
      <c r="A54" s="28">
        <v>6</v>
      </c>
      <c r="B54" s="29"/>
      <c r="C54" s="30"/>
    </row>
    <row r="55" spans="1:3" x14ac:dyDescent="0.25">
      <c r="A55" s="28">
        <v>7</v>
      </c>
      <c r="B55" s="29"/>
      <c r="C55" s="30"/>
    </row>
    <row r="56" spans="1:3" x14ac:dyDescent="0.25">
      <c r="A56" s="28">
        <v>8</v>
      </c>
      <c r="B56" s="29"/>
      <c r="C56" s="30"/>
    </row>
    <row r="57" spans="1:3" x14ac:dyDescent="0.25">
      <c r="A57" s="28">
        <v>9</v>
      </c>
      <c r="B57" s="29"/>
      <c r="C57" s="30"/>
    </row>
    <row r="58" spans="1:3" x14ac:dyDescent="0.25">
      <c r="A58" s="28">
        <v>10</v>
      </c>
      <c r="B58" s="29"/>
      <c r="C58" s="30"/>
    </row>
    <row r="59" spans="1:3" x14ac:dyDescent="0.25">
      <c r="A59" s="28">
        <v>11</v>
      </c>
      <c r="B59" s="29"/>
      <c r="C59" s="30"/>
    </row>
    <row r="60" spans="1:3" x14ac:dyDescent="0.25">
      <c r="A60" s="28">
        <v>12</v>
      </c>
      <c r="B60" s="29"/>
      <c r="C60" s="30"/>
    </row>
    <row r="61" spans="1:3" x14ac:dyDescent="0.25">
      <c r="A61" s="28">
        <v>13</v>
      </c>
      <c r="B61" s="29"/>
      <c r="C61" s="30"/>
    </row>
    <row r="62" spans="1:3" x14ac:dyDescent="0.25">
      <c r="A62" s="28">
        <v>14</v>
      </c>
      <c r="B62" s="29"/>
      <c r="C62" s="30"/>
    </row>
    <row r="63" spans="1:3" x14ac:dyDescent="0.25">
      <c r="A63" s="28">
        <v>15</v>
      </c>
      <c r="B63" s="29"/>
      <c r="C63" s="30"/>
    </row>
    <row r="64" spans="1:3" x14ac:dyDescent="0.25">
      <c r="A64" s="28">
        <v>16</v>
      </c>
      <c r="B64" s="29"/>
      <c r="C64" s="30"/>
    </row>
    <row r="65" spans="1:3" x14ac:dyDescent="0.25">
      <c r="A65" s="28">
        <v>17</v>
      </c>
      <c r="B65" s="29"/>
      <c r="C65" s="30"/>
    </row>
    <row r="80" spans="1:3" ht="15.75" thickBot="1" x14ac:dyDescent="0.3"/>
    <row r="81" spans="2:2" x14ac:dyDescent="0.25">
      <c r="B81" s="92" t="s">
        <v>302</v>
      </c>
    </row>
    <row r="82" spans="2:2" x14ac:dyDescent="0.25">
      <c r="B82" s="93" t="s">
        <v>304</v>
      </c>
    </row>
    <row r="83" spans="2:2" ht="15.75" thickBot="1" x14ac:dyDescent="0.3">
      <c r="B83" s="94" t="s">
        <v>305</v>
      </c>
    </row>
    <row r="84" spans="2:2" ht="15.75" thickBot="1" x14ac:dyDescent="0.3"/>
    <row r="85" spans="2:2" x14ac:dyDescent="0.25">
      <c r="B85" s="92" t="s">
        <v>306</v>
      </c>
    </row>
    <row r="86" spans="2:2" x14ac:dyDescent="0.25">
      <c r="B86" s="93" t="s">
        <v>307</v>
      </c>
    </row>
    <row r="87" spans="2:2" ht="15.75" thickBot="1" x14ac:dyDescent="0.3">
      <c r="B87" s="94" t="s">
        <v>308</v>
      </c>
    </row>
    <row r="88" spans="2:2" ht="15.75" thickBot="1" x14ac:dyDescent="0.3"/>
    <row r="89" spans="2:2" ht="15.75" thickBot="1" x14ac:dyDescent="0.3">
      <c r="B89" s="95" t="s">
        <v>309</v>
      </c>
    </row>
    <row r="90" spans="2:2" ht="15.75" thickBot="1" x14ac:dyDescent="0.3"/>
    <row r="91" spans="2:2" x14ac:dyDescent="0.25">
      <c r="B91" s="92" t="s">
        <v>313</v>
      </c>
    </row>
    <row r="92" spans="2:2" x14ac:dyDescent="0.25">
      <c r="B92" s="93" t="s">
        <v>316</v>
      </c>
    </row>
    <row r="93" spans="2:2" ht="15.75" thickBot="1" x14ac:dyDescent="0.3">
      <c r="B93" s="94" t="s">
        <v>317</v>
      </c>
    </row>
    <row r="94" spans="2:2" ht="15.75" thickBot="1" x14ac:dyDescent="0.3"/>
    <row r="95" spans="2:2" x14ac:dyDescent="0.25">
      <c r="B95" s="92" t="s">
        <v>319</v>
      </c>
    </row>
    <row r="96" spans="2:2" x14ac:dyDescent="0.25">
      <c r="B96" s="93" t="s">
        <v>320</v>
      </c>
    </row>
    <row r="97" spans="2:2" ht="15.75" thickBot="1" x14ac:dyDescent="0.3">
      <c r="B97" s="94" t="s">
        <v>321</v>
      </c>
    </row>
    <row r="98" spans="2:2" ht="15.75" thickBot="1" x14ac:dyDescent="0.3"/>
    <row r="99" spans="2:2" x14ac:dyDescent="0.25">
      <c r="B99" s="92" t="s">
        <v>322</v>
      </c>
    </row>
    <row r="100" spans="2:2" x14ac:dyDescent="0.25">
      <c r="B100" s="93" t="s">
        <v>323</v>
      </c>
    </row>
    <row r="101" spans="2:2" ht="15.75" thickBot="1" x14ac:dyDescent="0.3">
      <c r="B101" s="94" t="s">
        <v>324</v>
      </c>
    </row>
    <row r="102" spans="2:2" ht="15.75" thickBot="1" x14ac:dyDescent="0.3"/>
    <row r="103" spans="2:2" x14ac:dyDescent="0.25">
      <c r="B103" s="92" t="s">
        <v>325</v>
      </c>
    </row>
    <row r="104" spans="2:2" x14ac:dyDescent="0.25">
      <c r="B104" s="93" t="s">
        <v>326</v>
      </c>
    </row>
    <row r="105" spans="2:2" x14ac:dyDescent="0.25">
      <c r="B105" s="93" t="s">
        <v>327</v>
      </c>
    </row>
    <row r="106" spans="2:2" x14ac:dyDescent="0.25">
      <c r="B106" s="93" t="s">
        <v>329</v>
      </c>
    </row>
    <row r="107" spans="2:2" ht="15.75" thickBot="1" x14ac:dyDescent="0.3">
      <c r="B107" s="94" t="s">
        <v>329</v>
      </c>
    </row>
    <row r="108" spans="2:2" ht="15.75" thickBot="1" x14ac:dyDescent="0.3"/>
    <row r="109" spans="2:2" ht="15.75" thickBot="1" x14ac:dyDescent="0.3">
      <c r="B109" s="95" t="s">
        <v>330</v>
      </c>
    </row>
  </sheetData>
  <conditionalFormatting sqref="G2:G43">
    <cfRule type="expression" dxfId="2" priority="1">
      <formula>SEARCH("In-Progress", G2)</formula>
    </cfRule>
    <cfRule type="expression" dxfId="1" priority="2">
      <formula>SEARCH("Incomplete", G2)</formula>
    </cfRule>
    <cfRule type="expression" dxfId="0" priority="3">
      <formula>SEARCH("Completed", G2)</formula>
    </cfRule>
  </conditionalFormatting>
  <dataValidations count="1">
    <dataValidation type="list" allowBlank="1" showInputMessage="1" showErrorMessage="1" sqref="G2:G43" xr:uid="{0565E469-AC32-4B4F-BD39-F1E920F8DA2F}">
      <formula1>"Completed, Incomplete, In-Progress"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day_month</vt:lpstr>
      <vt:lpstr>3rd_March</vt:lpstr>
      <vt:lpstr>4th_March</vt:lpstr>
      <vt:lpstr>6th_March</vt:lpstr>
      <vt:lpstr>7th_March</vt:lpstr>
      <vt:lpstr>17th_March</vt:lpstr>
      <vt:lpstr>18th_March</vt:lpstr>
      <vt:lpstr>19th_March</vt:lpstr>
      <vt:lpstr>21st_March</vt:lpstr>
      <vt:lpstr>26th_March</vt:lpstr>
      <vt:lpstr>Sheet3</vt:lpstr>
      <vt:lpstr>Sheet1</vt:lpstr>
      <vt:lpstr>Sheet2</vt:lpstr>
      <vt:lpstr>27th_March</vt:lpstr>
      <vt:lpstr>28th_March</vt:lpstr>
      <vt:lpstr>4th_April</vt:lpstr>
      <vt:lpstr>8th_April</vt:lpstr>
      <vt:lpstr>9th_April</vt:lpstr>
      <vt:lpstr>10th_April</vt:lpstr>
      <vt:lpstr>11th_April</vt:lpstr>
      <vt:lpstr>14th_April</vt:lpstr>
      <vt:lpstr>16th_April</vt:lpstr>
      <vt:lpstr>17th_April</vt:lpstr>
      <vt:lpstr>18th_April</vt:lpstr>
      <vt:lpstr>21st_April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Chandrakant Bhalekar</dc:creator>
  <cp:lastModifiedBy>Chandrakant Bhalekar</cp:lastModifiedBy>
  <cp:lastPrinted>2025-03-06T11:57:46Z</cp:lastPrinted>
  <dcterms:created xsi:type="dcterms:W3CDTF">2025-03-03T04:00:09Z</dcterms:created>
  <dcterms:modified xsi:type="dcterms:W3CDTF">2025-04-22T10:09:47Z</dcterms:modified>
</cp:coreProperties>
</file>