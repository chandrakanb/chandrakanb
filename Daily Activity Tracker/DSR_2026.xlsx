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0645A87B-0D09-4D1F-825B-8EED7BDC1F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y_month" sheetId="1" r:id="rId1"/>
    <sheet name="January" sheetId="3" r:id="rId2"/>
    <sheet name="February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5" l="1"/>
  <c r="G50" i="5"/>
  <c r="G49" i="5"/>
  <c r="G48" i="5"/>
  <c r="G52" i="5" s="1"/>
  <c r="G24" i="5" l="1"/>
  <c r="G23" i="5"/>
  <c r="G22" i="5"/>
  <c r="G21" i="5"/>
  <c r="G25" i="5"/>
  <c r="G42" i="3"/>
  <c r="G41" i="3"/>
  <c r="G40" i="3"/>
  <c r="G77" i="3"/>
  <c r="G76" i="3"/>
  <c r="G75" i="3"/>
  <c r="G74" i="3"/>
  <c r="G73" i="3"/>
  <c r="G72" i="3"/>
  <c r="G71" i="3"/>
  <c r="G70" i="3"/>
  <c r="G69" i="3"/>
  <c r="G68" i="3"/>
  <c r="G67" i="3"/>
  <c r="G66" i="3"/>
  <c r="G50" i="3"/>
  <c r="G49" i="3"/>
  <c r="G48" i="3"/>
  <c r="G47" i="3"/>
  <c r="G46" i="3"/>
  <c r="G45" i="3"/>
  <c r="G44" i="3"/>
  <c r="G43" i="3"/>
  <c r="G39" i="3"/>
  <c r="G38" i="3"/>
  <c r="G24" i="3"/>
  <c r="G23" i="3"/>
  <c r="G22" i="3"/>
  <c r="G21" i="3"/>
  <c r="G20" i="3"/>
  <c r="G19" i="3"/>
  <c r="G18" i="3"/>
  <c r="G17" i="3"/>
  <c r="G16" i="3"/>
  <c r="G15" i="3"/>
  <c r="G14" i="3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2" i="1" s="1"/>
  <c r="G51" i="3" l="1"/>
  <c r="G25" i="3"/>
</calcChain>
</file>

<file path=xl/sharedStrings.xml><?xml version="1.0" encoding="utf-8"?>
<sst xmlns="http://schemas.openxmlformats.org/spreadsheetml/2006/main" count="480" uniqueCount="73">
  <si>
    <t>Sr. No.</t>
  </si>
  <si>
    <t>Task</t>
  </si>
  <si>
    <t>Priority</t>
  </si>
  <si>
    <t>Start Time</t>
  </si>
  <si>
    <t>End Time</t>
  </si>
  <si>
    <t>Total Time</t>
  </si>
  <si>
    <t>Status</t>
  </si>
  <si>
    <t>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</si>
  <si>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</si>
  <si>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</si>
  <si>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</si>
  <si>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</si>
  <si>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</si>
  <si>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</si>
  <si>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</si>
  <si>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</si>
  <si>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</si>
  <si>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</si>
  <si>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</si>
  <si>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</si>
  <si>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</si>
  <si>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</si>
  <si>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</si>
  <si>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</si>
  <si>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</si>
  <si>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</si>
  <si>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</si>
  <si>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</si>
  <si>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Connected Phone and USB devices of Bench10.</t>
  </si>
  <si>
    <t>Connected Phone and USB devices of Bench06.</t>
  </si>
  <si>
    <t>Bench10</t>
  </si>
  <si>
    <t>Bench06</t>
  </si>
  <si>
    <t>Phones</t>
  </si>
  <si>
    <t>Calibration</t>
  </si>
  <si>
    <t>Kite Version</t>
  </si>
  <si>
    <t>Kite license</t>
  </si>
  <si>
    <t>Done</t>
  </si>
  <si>
    <t>31-03</t>
  </si>
  <si>
    <t>28-02</t>
  </si>
  <si>
    <t>13th January 2026</t>
  </si>
  <si>
    <t>14th January 2026</t>
  </si>
  <si>
    <t>15th January 2026</t>
  </si>
  <si>
    <t>Overnight analysis of Bench10 for AEA1414R0.260113.1.</t>
  </si>
  <si>
    <t>Manual execution of Bench10 for AEA1414R0.260113.1.</t>
  </si>
  <si>
    <t>Performing flashing of Bench10 for AEA1416D0.260113.1.</t>
  </si>
  <si>
    <t>Triggered manual execution of Bench10 for AEA1416D0.260113.1.</t>
  </si>
  <si>
    <t>Manual execution of Bench10 for AEA1416D0.260113.1.</t>
  </si>
  <si>
    <t>Overnight internal Jira ticket update of Bench10.</t>
  </si>
  <si>
    <t>Overnight failure fixation of Bench10.</t>
  </si>
  <si>
    <t>Flashed sanity base build on Bench10.</t>
  </si>
  <si>
    <t>Performed sanity on Bench10 and connected to server.</t>
  </si>
  <si>
    <t>Time</t>
  </si>
  <si>
    <t>Overnight analysis of Bench10 for AFA1502D0.260114.1.</t>
  </si>
  <si>
    <t>Manual execution of Bench10 for AFA1502D0.260114.1.</t>
  </si>
  <si>
    <t>A15 modifications of Bench10.</t>
  </si>
  <si>
    <t>Overnight analysis of Bench10 forAEA1416D0.260115.1.</t>
  </si>
  <si>
    <t>Manual execution of Bench10 for AEA1416D0.260115.1.</t>
  </si>
  <si>
    <t>2nd February 2026</t>
  </si>
  <si>
    <t>Flashed sanity base builds on Bench10.</t>
  </si>
  <si>
    <t>Performed sanity on Bench11 and connected to server.</t>
  </si>
  <si>
    <t>Flashed sanity base builds on Bench11.</t>
  </si>
  <si>
    <t>Overnight failure fixation of Bench11.</t>
  </si>
  <si>
    <t>Overnight internal Jira ticket update of Bench11.</t>
  </si>
  <si>
    <t>Overnight analysis of Bench10 for AEA1414R0.260202.1.</t>
  </si>
  <si>
    <t>Overnight analysis of Bench11 for AEA1414R0.260202.1.</t>
  </si>
  <si>
    <t>Manual execution of Bench10 for AEA1414R0.260202.1.</t>
  </si>
  <si>
    <t>Performing flashing of Bench10 for AEA1415R1.260202.1.</t>
  </si>
  <si>
    <t>Manual execution of Bench11 for AEA1414R0.260202.1.</t>
  </si>
  <si>
    <t>Manual execution of Bench10 for AEA1415R1.260202.1</t>
  </si>
  <si>
    <t>Manual execution of Bench11 for AEA1415R1.260202.1</t>
  </si>
  <si>
    <t>Overnight analysis of Bench10 for AEA1415R1.260202.1</t>
  </si>
  <si>
    <t xml:space="preserve"> </t>
  </si>
  <si>
    <t>3rd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</si>
</sst>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242424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/>
    <xf numFmtId="164" fontId="0" fillId="3" borderId="6" xfId="0" applyNumberForma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vertical="center" wrapText="1"/>
    </xf>
    <xf numFmtId="0" fontId="0" fillId="3" borderId="8" xfId="0" applyFill="1" applyBorder="1"/>
    <xf numFmtId="164" fontId="0" fillId="3" borderId="8" xfId="0" applyNumberForma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20" fontId="0" fillId="3" borderId="10" xfId="0" applyNumberFormat="1" applyFill="1" applyBorder="1" applyAlignment="1">
      <alignment horizontal="center" vertical="center" wrapText="1"/>
    </xf>
    <xf numFmtId="164" fontId="0" fillId="3" borderId="10" xfId="0" applyNumberFormat="1" applyFill="1" applyBorder="1" applyAlignment="1">
      <alignment horizontal="center" vertical="center" wrapText="1"/>
    </xf>
    <xf numFmtId="49" fontId="0" fillId="3" borderId="11" xfId="0" applyNumberFormat="1" applyFill="1" applyBorder="1" applyAlignment="1">
      <alignment horizontal="center" vertical="center"/>
    </xf>
    <xf numFmtId="20" fontId="0" fillId="3" borderId="12" xfId="0" applyNumberFormat="1" applyFill="1" applyBorder="1" applyAlignment="1">
      <alignment horizontal="center" vertical="center" wrapText="1"/>
    </xf>
    <xf numFmtId="164" fontId="0" fillId="3" borderId="12" xfId="0" applyNumberFormat="1" applyFill="1" applyBorder="1" applyAlignment="1">
      <alignment horizontal="center" vertical="center" wrapText="1"/>
    </xf>
    <xf numFmtId="164" fontId="0" fillId="3" borderId="13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49" fontId="0" fillId="3" borderId="3" xfId="0" applyNumberFormat="1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 wrapText="1"/>
    </xf>
    <xf numFmtId="20" fontId="0" fillId="3" borderId="3" xfId="0" applyNumberFormat="1" applyFill="1" applyBorder="1" applyAlignment="1">
      <alignment horizontal="center" vertical="center" wrapText="1"/>
    </xf>
    <xf numFmtId="20" fontId="0" fillId="3" borderId="15" xfId="0" applyNumberFormat="1" applyFill="1" applyBorder="1" applyAlignment="1">
      <alignment horizontal="center" vertical="center" wrapText="1"/>
    </xf>
    <xf numFmtId="20" fontId="1" fillId="3" borderId="13" xfId="0" applyNumberFormat="1" applyFont="1" applyFill="1" applyBorder="1" applyAlignment="1">
      <alignment horizontal="center" vertical="center" wrapText="1"/>
    </xf>
    <xf numFmtId="20" fontId="0" fillId="3" borderId="16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20" fontId="0" fillId="3" borderId="10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20" fontId="0" fillId="3" borderId="12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/>
    </xf>
    <xf numFmtId="20" fontId="0" fillId="3" borderId="15" xfId="0" applyNumberFormat="1" applyFill="1" applyBorder="1" applyAlignment="1">
      <alignment horizontal="center" vertical="center"/>
    </xf>
    <xf numFmtId="20" fontId="0" fillId="3" borderId="16" xfId="0" applyNumberFormat="1" applyFill="1" applyBorder="1" applyAlignment="1">
      <alignment horizontal="center" vertical="center"/>
    </xf>
    <xf numFmtId="20" fontId="1" fillId="3" borderId="3" xfId="0" applyNumberFormat="1" applyFont="1" applyFill="1" applyBorder="1" applyAlignment="1">
      <alignment horizontal="left" vertical="top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49" fontId="0" fillId="3" borderId="28" xfId="0" applyNumberFormat="1" applyFill="1" applyBorder="1" applyAlignment="1">
      <alignment horizontal="center" vertical="center"/>
    </xf>
    <xf numFmtId="20" fontId="0" fillId="3" borderId="13" xfId="0" applyNumberForma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vertical="center"/>
    </xf>
    <xf numFmtId="20" fontId="3" fillId="4" borderId="30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selection activeCell="B1" sqref="B1"/>
    </sheetView>
  </sheetViews>
  <sheetFormatPr defaultRowHeight="15" x14ac:dyDescent="0.25"/>
  <cols>
    <col min="1" max="1" width="6.85546875" bestFit="1" customWidth="1"/>
    <col min="2" max="2" width="57.28515625" customWidth="1"/>
    <col min="3" max="3" width="10.28515625" customWidth="1"/>
    <col min="4" max="7" width="11.85546875" customWidth="1"/>
    <col min="8" max="8" width="16.140625" customWidth="1"/>
  </cols>
  <sheetData>
    <row r="1" spans="1:8" ht="1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 t="s">
        <v>28</v>
      </c>
      <c r="C2" s="6"/>
      <c r="D2" s="7"/>
      <c r="E2" s="7"/>
      <c r="F2" s="8">
        <f t="shared" ref="F2:F21" si="0">E2-D2</f>
        <v>0</v>
      </c>
      <c r="G2" s="9"/>
      <c r="H2" s="8"/>
    </row>
    <row r="3" spans="1:8" x14ac:dyDescent="0.25">
      <c r="A3" s="10" t="s">
        <v>9</v>
      </c>
      <c r="B3" s="5" t="s">
        <v>29</v>
      </c>
      <c r="C3" s="12"/>
      <c r="D3" s="13"/>
      <c r="E3" s="13"/>
      <c r="F3" s="8">
        <f t="shared" si="0"/>
        <v>0</v>
      </c>
      <c r="G3" s="9"/>
      <c r="H3" s="14"/>
    </row>
    <row r="4" spans="1:8" x14ac:dyDescent="0.25">
      <c r="A4" s="10" t="s">
        <v>10</v>
      </c>
      <c r="B4" s="11"/>
      <c r="C4" s="12"/>
      <c r="D4" s="13"/>
      <c r="E4" s="13"/>
      <c r="F4" s="8">
        <f t="shared" si="0"/>
        <v>0</v>
      </c>
      <c r="G4" s="9"/>
      <c r="H4" s="14"/>
    </row>
    <row r="5" spans="1:8" x14ac:dyDescent="0.25">
      <c r="A5" s="10" t="s">
        <v>11</v>
      </c>
      <c r="B5" s="11"/>
      <c r="C5" s="12"/>
      <c r="D5" s="13"/>
      <c r="E5" s="13"/>
      <c r="F5" s="8">
        <f t="shared" si="0"/>
        <v>0</v>
      </c>
      <c r="G5" s="9"/>
      <c r="H5" s="14"/>
    </row>
    <row r="6" spans="1:8" x14ac:dyDescent="0.25">
      <c r="A6" s="10" t="s">
        <v>12</v>
      </c>
      <c r="B6" s="11"/>
      <c r="C6" s="12"/>
      <c r="D6" s="13"/>
      <c r="E6" s="13"/>
      <c r="F6" s="8">
        <f t="shared" si="0"/>
        <v>0</v>
      </c>
      <c r="G6" s="9"/>
      <c r="H6" s="14"/>
    </row>
    <row r="7" spans="1:8" x14ac:dyDescent="0.25">
      <c r="A7" s="10" t="s">
        <v>13</v>
      </c>
      <c r="B7" s="11"/>
      <c r="C7" s="12"/>
      <c r="D7" s="13"/>
      <c r="E7" s="13"/>
      <c r="F7" s="8">
        <f t="shared" si="0"/>
        <v>0</v>
      </c>
      <c r="G7" s="9"/>
      <c r="H7" s="14"/>
    </row>
    <row r="8" spans="1:8" x14ac:dyDescent="0.25">
      <c r="A8" s="10" t="s">
        <v>14</v>
      </c>
      <c r="B8" s="11"/>
      <c r="C8" s="12"/>
      <c r="D8" s="13"/>
      <c r="E8" s="13"/>
      <c r="F8" s="8">
        <f t="shared" si="0"/>
        <v>0</v>
      </c>
      <c r="G8" s="9"/>
      <c r="H8" s="14"/>
    </row>
    <row r="9" spans="1:8" x14ac:dyDescent="0.25">
      <c r="A9" s="10" t="s">
        <v>15</v>
      </c>
      <c r="B9" s="11"/>
      <c r="C9" s="12"/>
      <c r="D9" s="13"/>
      <c r="E9" s="13"/>
      <c r="F9" s="8">
        <f t="shared" si="0"/>
        <v>0</v>
      </c>
      <c r="G9" s="9"/>
      <c r="H9" s="14"/>
    </row>
    <row r="10" spans="1:8" x14ac:dyDescent="0.25">
      <c r="A10" s="10" t="s">
        <v>16</v>
      </c>
      <c r="B10" s="11"/>
      <c r="C10" s="12"/>
      <c r="D10" s="13"/>
      <c r="E10" s="13"/>
      <c r="F10" s="8">
        <f t="shared" si="0"/>
        <v>0</v>
      </c>
      <c r="G10" s="9"/>
      <c r="H10" s="14"/>
    </row>
    <row r="11" spans="1:8" x14ac:dyDescent="0.25">
      <c r="A11" s="10" t="s">
        <v>17</v>
      </c>
      <c r="B11" s="15"/>
      <c r="C11" s="15"/>
      <c r="D11" s="16"/>
      <c r="E11" s="16"/>
      <c r="F11" s="8">
        <f t="shared" si="0"/>
        <v>0</v>
      </c>
      <c r="G11" s="9"/>
      <c r="H11" s="15"/>
    </row>
    <row r="12" spans="1:8" x14ac:dyDescent="0.25">
      <c r="A12" s="10" t="s">
        <v>18</v>
      </c>
      <c r="B12" s="15"/>
      <c r="C12" s="15"/>
      <c r="D12" s="16"/>
      <c r="E12" s="16"/>
      <c r="F12" s="8">
        <f t="shared" si="0"/>
        <v>0</v>
      </c>
      <c r="G12" s="9"/>
      <c r="H12" s="15"/>
    </row>
    <row r="13" spans="1:8" x14ac:dyDescent="0.25">
      <c r="A13" s="10" t="s">
        <v>19</v>
      </c>
      <c r="B13" s="15"/>
      <c r="C13" s="15"/>
      <c r="D13" s="16"/>
      <c r="E13" s="16"/>
      <c r="F13" s="8">
        <f t="shared" si="0"/>
        <v>0</v>
      </c>
      <c r="G13" s="9"/>
      <c r="H13" s="15"/>
    </row>
    <row r="14" spans="1:8" x14ac:dyDescent="0.25">
      <c r="A14" s="10" t="s">
        <v>20</v>
      </c>
      <c r="B14" s="15"/>
      <c r="C14" s="15"/>
      <c r="D14" s="16"/>
      <c r="E14" s="16"/>
      <c r="F14" s="8">
        <f t="shared" si="0"/>
        <v>0</v>
      </c>
      <c r="G14" s="9"/>
      <c r="H14" s="15"/>
    </row>
    <row r="15" spans="1:8" x14ac:dyDescent="0.25">
      <c r="A15" s="10" t="s">
        <v>21</v>
      </c>
      <c r="B15" s="15"/>
      <c r="C15" s="15"/>
      <c r="D15" s="16"/>
      <c r="E15" s="16"/>
      <c r="F15" s="8">
        <f t="shared" si="0"/>
        <v>0</v>
      </c>
      <c r="G15" s="9"/>
      <c r="H15" s="15"/>
    </row>
    <row r="16" spans="1:8" x14ac:dyDescent="0.25">
      <c r="A16" s="10" t="s">
        <v>22</v>
      </c>
      <c r="B16" s="15"/>
      <c r="C16" s="15"/>
      <c r="D16" s="16"/>
      <c r="E16" s="16"/>
      <c r="F16" s="8">
        <f t="shared" si="0"/>
        <v>0</v>
      </c>
      <c r="G16" s="9"/>
      <c r="H16" s="15"/>
    </row>
    <row r="17" spans="1:8" x14ac:dyDescent="0.25">
      <c r="A17" s="10" t="s">
        <v>23</v>
      </c>
      <c r="B17" s="15"/>
      <c r="C17" s="15"/>
      <c r="D17" s="16"/>
      <c r="E17" s="16"/>
      <c r="F17" s="8">
        <f t="shared" si="0"/>
        <v>0</v>
      </c>
      <c r="G17" s="9"/>
      <c r="H17" s="15"/>
    </row>
    <row r="18" spans="1:8" x14ac:dyDescent="0.25">
      <c r="A18" s="10" t="s">
        <v>24</v>
      </c>
      <c r="B18" s="15"/>
      <c r="C18" s="15"/>
      <c r="D18" s="16"/>
      <c r="E18" s="16"/>
      <c r="F18" s="8">
        <f t="shared" si="0"/>
        <v>0</v>
      </c>
      <c r="G18" s="9"/>
      <c r="H18" s="15"/>
    </row>
    <row r="19" spans="1:8" x14ac:dyDescent="0.25">
      <c r="A19" s="10" t="s">
        <v>25</v>
      </c>
      <c r="B19" s="15"/>
      <c r="C19" s="15"/>
      <c r="D19" s="16"/>
      <c r="E19" s="16"/>
      <c r="F19" s="8">
        <f t="shared" si="0"/>
        <v>0</v>
      </c>
      <c r="G19" s="9"/>
      <c r="H19" s="15"/>
    </row>
    <row r="20" spans="1:8" ht="15" customHeight="1" x14ac:dyDescent="0.25">
      <c r="A20" s="10" t="s">
        <v>26</v>
      </c>
      <c r="B20" s="15"/>
      <c r="C20" s="15"/>
      <c r="D20" s="16"/>
      <c r="E20" s="16"/>
      <c r="F20" s="8">
        <f t="shared" si="0"/>
        <v>0</v>
      </c>
      <c r="G20" s="9"/>
      <c r="H20" s="15"/>
    </row>
    <row r="21" spans="1:8" ht="15" customHeight="1" thickBot="1" x14ac:dyDescent="0.3">
      <c r="A21" s="17" t="s">
        <v>27</v>
      </c>
      <c r="B21" s="18"/>
      <c r="C21" s="18"/>
      <c r="D21" s="19"/>
      <c r="E21" s="20"/>
      <c r="F21" s="21">
        <f t="shared" si="0"/>
        <v>0</v>
      </c>
      <c r="G21" s="9"/>
      <c r="H21" s="18"/>
    </row>
    <row r="22" spans="1:8" ht="15" customHeight="1" thickBot="1" x14ac:dyDescent="0.3">
      <c r="A22" s="22"/>
      <c r="B22" s="23"/>
      <c r="C22" s="24"/>
      <c r="D22" s="25"/>
      <c r="E22" s="26" t="s">
        <v>5</v>
      </c>
      <c r="F22" s="24">
        <f>SUM(F2:F21)</f>
        <v>0</v>
      </c>
      <c r="G22" s="27"/>
      <c r="H22" s="24"/>
    </row>
    <row r="23" spans="1:8" ht="15" customHeight="1" thickBot="1" x14ac:dyDescent="0.3"/>
    <row r="24" spans="1:8" ht="15" customHeight="1" thickBot="1" x14ac:dyDescent="0.3">
      <c r="A24" s="1" t="s">
        <v>0</v>
      </c>
      <c r="B24" s="2" t="s">
        <v>1</v>
      </c>
      <c r="C24" s="3" t="s">
        <v>2</v>
      </c>
    </row>
    <row r="25" spans="1:8" x14ac:dyDescent="0.25">
      <c r="A25" s="4" t="s">
        <v>8</v>
      </c>
      <c r="B25" s="5"/>
      <c r="C25" s="6"/>
    </row>
    <row r="26" spans="1:8" x14ac:dyDescent="0.25">
      <c r="A26" s="10" t="s">
        <v>9</v>
      </c>
      <c r="B26" s="11"/>
      <c r="C26" s="12"/>
    </row>
    <row r="27" spans="1:8" x14ac:dyDescent="0.25">
      <c r="A27" s="10" t="s">
        <v>10</v>
      </c>
      <c r="B27" s="11"/>
      <c r="C27" s="12"/>
    </row>
    <row r="28" spans="1:8" x14ac:dyDescent="0.25">
      <c r="A28" s="10" t="s">
        <v>11</v>
      </c>
      <c r="B28" s="11"/>
      <c r="C28" s="12"/>
    </row>
    <row r="29" spans="1:8" x14ac:dyDescent="0.25">
      <c r="A29" s="10" t="s">
        <v>12</v>
      </c>
      <c r="B29" s="11"/>
      <c r="C29" s="12"/>
    </row>
    <row r="30" spans="1:8" x14ac:dyDescent="0.25">
      <c r="A30" s="10" t="s">
        <v>13</v>
      </c>
      <c r="B30" s="11"/>
      <c r="C30" s="12"/>
    </row>
    <row r="31" spans="1:8" x14ac:dyDescent="0.25">
      <c r="A31" s="10" t="s">
        <v>14</v>
      </c>
      <c r="B31" s="11"/>
      <c r="C31" s="12"/>
    </row>
    <row r="32" spans="1:8" x14ac:dyDescent="0.25">
      <c r="A32" s="10" t="s">
        <v>15</v>
      </c>
      <c r="B32" s="11"/>
      <c r="C32" s="12"/>
    </row>
    <row r="33" spans="1:6" x14ac:dyDescent="0.25">
      <c r="A33" s="10" t="s">
        <v>16</v>
      </c>
      <c r="B33" s="11"/>
      <c r="C33" s="12"/>
    </row>
    <row r="34" spans="1:6" x14ac:dyDescent="0.25">
      <c r="A34" s="10" t="s">
        <v>17</v>
      </c>
      <c r="B34" s="15"/>
      <c r="C34" s="15"/>
    </row>
    <row r="35" spans="1:6" x14ac:dyDescent="0.25">
      <c r="A35" s="10" t="s">
        <v>18</v>
      </c>
      <c r="B35" s="15"/>
      <c r="C35" s="15"/>
    </row>
    <row r="36" spans="1:6" x14ac:dyDescent="0.25">
      <c r="A36" s="10" t="s">
        <v>19</v>
      </c>
      <c r="B36" s="15"/>
      <c r="C36" s="15"/>
    </row>
    <row r="41" spans="1:6" x14ac:dyDescent="0.25">
      <c r="C41" t="s">
        <v>32</v>
      </c>
      <c r="D41" t="s">
        <v>33</v>
      </c>
      <c r="E41" t="s">
        <v>34</v>
      </c>
      <c r="F41" t="s">
        <v>35</v>
      </c>
    </row>
    <row r="42" spans="1:6" x14ac:dyDescent="0.25">
      <c r="B42" t="s">
        <v>31</v>
      </c>
      <c r="C42" t="s">
        <v>36</v>
      </c>
      <c r="E42">
        <v>44</v>
      </c>
      <c r="F42" t="s">
        <v>37</v>
      </c>
    </row>
    <row r="43" spans="1:6" x14ac:dyDescent="0.25">
      <c r="B43" t="s">
        <v>30</v>
      </c>
      <c r="E43">
        <v>31</v>
      </c>
      <c r="F43" t="s">
        <v>38</v>
      </c>
    </row>
  </sheetData>
  <conditionalFormatting sqref="C2:C10">
    <cfRule type="containsText" dxfId="8" priority="7" operator="containsText" text="Low">
      <formula>NOT(ISERROR(SEARCH("Low",C2)))</formula>
    </cfRule>
    <cfRule type="containsText" dxfId="7" priority="8" operator="containsText" text="Medium">
      <formula>NOT(ISERROR(SEARCH("Medium",C2)))</formula>
    </cfRule>
    <cfRule type="containsText" dxfId="6" priority="9" operator="containsText" text="High">
      <formula>NOT(ISERROR(SEARCH("High",C2)))</formula>
    </cfRule>
  </conditionalFormatting>
  <conditionalFormatting sqref="C25:C33">
    <cfRule type="containsText" dxfId="5" priority="1" operator="containsText" text="Low">
      <formula>NOT(ISERROR(SEARCH("Low",C25)))</formula>
    </cfRule>
    <cfRule type="containsText" dxfId="4" priority="2" operator="containsText" text="Medium">
      <formula>NOT(ISERROR(SEARCH("Medium",C25)))</formula>
    </cfRule>
    <cfRule type="containsText" dxfId="3" priority="3" operator="containsText" text="High">
      <formula>NOT(ISERROR(SEARCH("High",C25)))</formula>
    </cfRule>
  </conditionalFormatting>
  <conditionalFormatting sqref="G2:G21">
    <cfRule type="expression" dxfId="2" priority="4">
      <formula>SEARCH("In-Progress", G2)</formula>
    </cfRule>
    <cfRule type="expression" dxfId="1" priority="5">
      <formula>SEARCH("Incomplete", G2)</formula>
    </cfRule>
    <cfRule type="expression" dxfId="0" priority="6">
      <formula>SEARCH("Completed", G2)</formula>
    </cfRule>
  </conditionalFormatting>
  <dataValidations count="2">
    <dataValidation type="list" allowBlank="1" showInputMessage="1" showErrorMessage="1" sqref="C2:C17 C25:C36" xr:uid="{00000000-0002-0000-0000-000000000000}">
      <formula1>"High,Medium,Low"</formula1>
    </dataValidation>
    <dataValidation type="list" allowBlank="1" showInputMessage="1" showErrorMessage="1" sqref="D18:E20 G2:G21 H18:H20" xr:uid="{00000000-0002-0000-0000-000001000000}">
      <formula1>"Completed, Incomplete, In-Progress"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4C1B-2A3D-4CC8-AB74-D0DC6BDD901C}">
  <dimension ref="A1:N78"/>
  <sheetViews>
    <sheetView workbookViewId="0">
      <selection sqref="A1:N26"/>
    </sheetView>
  </sheetViews>
  <sheetFormatPr defaultRowHeight="15" x14ac:dyDescent="0.25"/>
  <cols>
    <col min="1" max="1" width="3.5703125" customWidth="1"/>
    <col min="14" max="14" width="3.7109375" customWidth="1"/>
  </cols>
  <sheetData>
    <row r="1" spans="1:14" ht="15.75" thickBot="1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</row>
    <row r="2" spans="1:14" ht="21.75" thickBot="1" x14ac:dyDescent="0.3">
      <c r="A2" s="45"/>
      <c r="B2" s="57" t="s">
        <v>39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  <c r="N2" s="46"/>
    </row>
    <row r="3" spans="1:14" ht="15.75" thickBot="1" x14ac:dyDescent="0.3">
      <c r="A3" s="45"/>
      <c r="N3" s="46"/>
    </row>
    <row r="4" spans="1:14" ht="15.75" thickBot="1" x14ac:dyDescent="0.3">
      <c r="A4" s="45"/>
      <c r="B4" s="29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7</v>
      </c>
      <c r="K4" s="3" t="s">
        <v>0</v>
      </c>
      <c r="L4" s="3" t="s">
        <v>1</v>
      </c>
      <c r="M4" s="3" t="s">
        <v>51</v>
      </c>
      <c r="N4" s="46"/>
    </row>
    <row r="5" spans="1:14" x14ac:dyDescent="0.25">
      <c r="A5" s="45"/>
      <c r="B5" s="4" t="s">
        <v>8</v>
      </c>
      <c r="C5" s="30" t="s">
        <v>42</v>
      </c>
      <c r="D5" s="6"/>
      <c r="E5" s="31"/>
      <c r="F5" s="31"/>
      <c r="G5" s="56">
        <v>2.0833333333333332E-2</v>
      </c>
      <c r="H5" s="9"/>
      <c r="I5" s="32"/>
      <c r="K5" s="4" t="s">
        <v>8</v>
      </c>
      <c r="L5" s="55" t="s">
        <v>42</v>
      </c>
      <c r="M5" s="56">
        <v>2.0833333333333332E-2</v>
      </c>
      <c r="N5" s="46"/>
    </row>
    <row r="6" spans="1:14" x14ac:dyDescent="0.25">
      <c r="A6" s="45"/>
      <c r="B6" s="10" t="s">
        <v>9</v>
      </c>
      <c r="C6" s="33" t="s">
        <v>43</v>
      </c>
      <c r="D6" s="12"/>
      <c r="E6" s="34"/>
      <c r="F6" s="34"/>
      <c r="G6" s="56">
        <v>6.25E-2</v>
      </c>
      <c r="H6" s="9"/>
      <c r="I6" s="35"/>
      <c r="K6" s="10" t="s">
        <v>9</v>
      </c>
      <c r="L6" s="55" t="s">
        <v>43</v>
      </c>
      <c r="M6" s="56">
        <v>6.25E-2</v>
      </c>
      <c r="N6" s="46"/>
    </row>
    <row r="7" spans="1:14" x14ac:dyDescent="0.25">
      <c r="A7" s="45"/>
      <c r="B7" s="10" t="s">
        <v>10</v>
      </c>
      <c r="C7" s="33" t="s">
        <v>44</v>
      </c>
      <c r="D7" s="12"/>
      <c r="E7" s="34"/>
      <c r="F7" s="34"/>
      <c r="G7" s="56">
        <v>2.0833333333333332E-2</v>
      </c>
      <c r="H7" s="9"/>
      <c r="I7" s="35"/>
      <c r="K7" s="10" t="s">
        <v>10</v>
      </c>
      <c r="L7" s="55" t="s">
        <v>44</v>
      </c>
      <c r="M7" s="56">
        <v>2.0833333333333332E-2</v>
      </c>
      <c r="N7" s="46"/>
    </row>
    <row r="8" spans="1:14" x14ac:dyDescent="0.25">
      <c r="A8" s="45"/>
      <c r="B8" s="10" t="s">
        <v>11</v>
      </c>
      <c r="C8" s="33" t="s">
        <v>45</v>
      </c>
      <c r="D8" s="12"/>
      <c r="E8" s="34"/>
      <c r="F8" s="34"/>
      <c r="G8" s="56">
        <v>1.3888888888888888E-2</v>
      </c>
      <c r="H8" s="9"/>
      <c r="I8" s="35"/>
      <c r="K8" s="10" t="s">
        <v>11</v>
      </c>
      <c r="L8" s="55" t="s">
        <v>45</v>
      </c>
      <c r="M8" s="56">
        <v>1.3888888888888888E-2</v>
      </c>
      <c r="N8" s="46"/>
    </row>
    <row r="9" spans="1:14" x14ac:dyDescent="0.25">
      <c r="A9" s="45"/>
      <c r="B9" s="10" t="s">
        <v>12</v>
      </c>
      <c r="C9" s="33" t="s">
        <v>46</v>
      </c>
      <c r="D9" s="12"/>
      <c r="E9" s="34"/>
      <c r="F9" s="34"/>
      <c r="G9" s="56">
        <v>0.10416666666666667</v>
      </c>
      <c r="H9" s="9"/>
      <c r="I9" s="35"/>
      <c r="K9" s="10" t="s">
        <v>12</v>
      </c>
      <c r="L9" s="55" t="s">
        <v>46</v>
      </c>
      <c r="M9" s="56">
        <v>0.10416666666666667</v>
      </c>
      <c r="N9" s="46"/>
    </row>
    <row r="10" spans="1:14" x14ac:dyDescent="0.25">
      <c r="A10" s="45"/>
      <c r="B10" s="10" t="s">
        <v>13</v>
      </c>
      <c r="C10" s="33" t="s">
        <v>47</v>
      </c>
      <c r="D10" s="12"/>
      <c r="E10" s="34"/>
      <c r="F10" s="34"/>
      <c r="G10" s="56">
        <v>1.0416666666666666E-2</v>
      </c>
      <c r="H10" s="9"/>
      <c r="I10" s="35"/>
      <c r="K10" s="10" t="s">
        <v>13</v>
      </c>
      <c r="L10" s="55" t="s">
        <v>47</v>
      </c>
      <c r="M10" s="56">
        <v>1.0416666666666666E-2</v>
      </c>
      <c r="N10" s="46"/>
    </row>
    <row r="11" spans="1:14" x14ac:dyDescent="0.25">
      <c r="A11" s="45"/>
      <c r="B11" s="10" t="s">
        <v>14</v>
      </c>
      <c r="C11" s="33" t="s">
        <v>48</v>
      </c>
      <c r="D11" s="12"/>
      <c r="E11" s="34"/>
      <c r="F11" s="34"/>
      <c r="G11" s="56">
        <v>2.0833333333333332E-2</v>
      </c>
      <c r="H11" s="9"/>
      <c r="I11" s="35"/>
      <c r="K11" s="10" t="s">
        <v>14</v>
      </c>
      <c r="L11" s="55" t="s">
        <v>48</v>
      </c>
      <c r="M11" s="56">
        <v>2.0833333333333332E-2</v>
      </c>
      <c r="N11" s="46"/>
    </row>
    <row r="12" spans="1:14" x14ac:dyDescent="0.25">
      <c r="A12" s="45"/>
      <c r="B12" s="10" t="s">
        <v>15</v>
      </c>
      <c r="C12" s="33" t="s">
        <v>49</v>
      </c>
      <c r="D12" s="12"/>
      <c r="E12" s="34"/>
      <c r="F12" s="34"/>
      <c r="G12" s="56">
        <v>2.0833333333333332E-2</v>
      </c>
      <c r="H12" s="9"/>
      <c r="I12" s="35"/>
      <c r="K12" s="10" t="s">
        <v>15</v>
      </c>
      <c r="L12" s="55" t="s">
        <v>49</v>
      </c>
      <c r="M12" s="56">
        <v>2.0833333333333332E-2</v>
      </c>
      <c r="N12" s="46"/>
    </row>
    <row r="13" spans="1:14" x14ac:dyDescent="0.25">
      <c r="A13" s="45"/>
      <c r="B13" s="10" t="s">
        <v>16</v>
      </c>
      <c r="C13" s="33" t="s">
        <v>50</v>
      </c>
      <c r="D13" s="12"/>
      <c r="E13" s="34"/>
      <c r="F13" s="34"/>
      <c r="G13" s="56">
        <v>6.25E-2</v>
      </c>
      <c r="H13" s="9"/>
      <c r="I13" s="35"/>
      <c r="K13" s="10" t="s">
        <v>16</v>
      </c>
      <c r="L13" s="55" t="s">
        <v>50</v>
      </c>
      <c r="M13" s="56">
        <v>6.25E-2</v>
      </c>
      <c r="N13" s="46"/>
    </row>
    <row r="14" spans="1:14" x14ac:dyDescent="0.25">
      <c r="A14" s="45"/>
      <c r="B14" s="10" t="s">
        <v>17</v>
      </c>
      <c r="C14" s="36"/>
      <c r="D14" s="36"/>
      <c r="E14" s="37"/>
      <c r="F14" s="37"/>
      <c r="G14" s="56">
        <f t="shared" ref="G14:G24" si="0">F14-E14</f>
        <v>0</v>
      </c>
      <c r="H14" s="9"/>
      <c r="I14" s="36"/>
      <c r="K14" s="10" t="s">
        <v>17</v>
      </c>
      <c r="L14" s="15"/>
      <c r="M14" s="15"/>
      <c r="N14" s="46"/>
    </row>
    <row r="15" spans="1:14" x14ac:dyDescent="0.25">
      <c r="A15" s="45"/>
      <c r="B15" s="10" t="s">
        <v>18</v>
      </c>
      <c r="C15" s="36"/>
      <c r="D15" s="36"/>
      <c r="E15" s="37"/>
      <c r="F15" s="37"/>
      <c r="G15" s="56">
        <f t="shared" si="0"/>
        <v>0</v>
      </c>
      <c r="H15" s="9"/>
      <c r="I15" s="36"/>
      <c r="K15" s="10" t="s">
        <v>18</v>
      </c>
      <c r="L15" s="15"/>
      <c r="M15" s="15"/>
      <c r="N15" s="46"/>
    </row>
    <row r="16" spans="1:14" ht="15.75" thickBot="1" x14ac:dyDescent="0.3">
      <c r="A16" s="45"/>
      <c r="B16" s="10" t="s">
        <v>19</v>
      </c>
      <c r="C16" s="36"/>
      <c r="D16" s="36"/>
      <c r="E16" s="37"/>
      <c r="F16" s="37"/>
      <c r="G16" s="56">
        <f t="shared" si="0"/>
        <v>0</v>
      </c>
      <c r="H16" s="9"/>
      <c r="I16" s="36"/>
      <c r="K16" s="53" t="s">
        <v>19</v>
      </c>
      <c r="L16" s="54"/>
      <c r="M16" s="54"/>
      <c r="N16" s="46"/>
    </row>
    <row r="17" spans="1:14" x14ac:dyDescent="0.25">
      <c r="A17" s="45"/>
      <c r="B17" s="10" t="s">
        <v>20</v>
      </c>
      <c r="C17" s="36"/>
      <c r="D17" s="36"/>
      <c r="E17" s="37"/>
      <c r="F17" s="37"/>
      <c r="G17" s="56">
        <f t="shared" si="0"/>
        <v>0</v>
      </c>
      <c r="H17" s="9"/>
      <c r="I17" s="36"/>
      <c r="N17" s="46"/>
    </row>
    <row r="18" spans="1:14" x14ac:dyDescent="0.25">
      <c r="A18" s="45"/>
      <c r="B18" s="10" t="s">
        <v>21</v>
      </c>
      <c r="C18" s="36"/>
      <c r="D18" s="36"/>
      <c r="E18" s="37"/>
      <c r="F18" s="37"/>
      <c r="G18" s="56">
        <f t="shared" si="0"/>
        <v>0</v>
      </c>
      <c r="H18" s="9"/>
      <c r="I18" s="36"/>
      <c r="N18" s="46"/>
    </row>
    <row r="19" spans="1:14" x14ac:dyDescent="0.25">
      <c r="A19" s="45"/>
      <c r="B19" s="10" t="s">
        <v>22</v>
      </c>
      <c r="C19" s="36"/>
      <c r="D19" s="36"/>
      <c r="E19" s="37"/>
      <c r="F19" s="37"/>
      <c r="G19" s="56">
        <f t="shared" si="0"/>
        <v>0</v>
      </c>
      <c r="H19" s="9"/>
      <c r="I19" s="36"/>
      <c r="N19" s="46"/>
    </row>
    <row r="20" spans="1:14" x14ac:dyDescent="0.25">
      <c r="A20" s="45"/>
      <c r="B20" s="10" t="s">
        <v>23</v>
      </c>
      <c r="C20" s="36"/>
      <c r="D20" s="36"/>
      <c r="E20" s="37"/>
      <c r="F20" s="37"/>
      <c r="G20" s="56">
        <f t="shared" si="0"/>
        <v>0</v>
      </c>
      <c r="H20" s="9"/>
      <c r="I20" s="36"/>
      <c r="N20" s="46"/>
    </row>
    <row r="21" spans="1:14" x14ac:dyDescent="0.25">
      <c r="A21" s="45"/>
      <c r="B21" s="10" t="s">
        <v>24</v>
      </c>
      <c r="C21" s="36"/>
      <c r="D21" s="36"/>
      <c r="E21" s="37"/>
      <c r="F21" s="37"/>
      <c r="G21" s="56">
        <f t="shared" si="0"/>
        <v>0</v>
      </c>
      <c r="H21" s="9"/>
      <c r="I21" s="36"/>
      <c r="N21" s="46"/>
    </row>
    <row r="22" spans="1:14" x14ac:dyDescent="0.25">
      <c r="A22" s="45"/>
      <c r="B22" s="10" t="s">
        <v>25</v>
      </c>
      <c r="C22" s="36"/>
      <c r="D22" s="36"/>
      <c r="E22" s="37"/>
      <c r="F22" s="37"/>
      <c r="G22" s="56">
        <f t="shared" si="0"/>
        <v>0</v>
      </c>
      <c r="H22" s="9"/>
      <c r="I22" s="36"/>
      <c r="N22" s="46"/>
    </row>
    <row r="23" spans="1:14" x14ac:dyDescent="0.25">
      <c r="A23" s="45"/>
      <c r="B23" s="10" t="s">
        <v>26</v>
      </c>
      <c r="C23" s="36"/>
      <c r="D23" s="36"/>
      <c r="E23" s="37"/>
      <c r="F23" s="37"/>
      <c r="G23" s="56">
        <f t="shared" si="0"/>
        <v>0</v>
      </c>
      <c r="H23" s="9"/>
      <c r="I23" s="36"/>
      <c r="N23" s="46"/>
    </row>
    <row r="24" spans="1:14" ht="15.75" thickBot="1" x14ac:dyDescent="0.3">
      <c r="A24" s="45"/>
      <c r="B24" s="17" t="s">
        <v>27</v>
      </c>
      <c r="C24" s="38"/>
      <c r="D24" s="38"/>
      <c r="E24" s="39"/>
      <c r="F24" s="39"/>
      <c r="G24" s="56">
        <f t="shared" si="0"/>
        <v>0</v>
      </c>
      <c r="H24" s="9"/>
      <c r="I24" s="38"/>
      <c r="N24" s="46"/>
    </row>
    <row r="25" spans="1:14" ht="15.75" thickBot="1" x14ac:dyDescent="0.3">
      <c r="A25" s="45"/>
      <c r="B25" s="22"/>
      <c r="C25" s="40"/>
      <c r="D25" s="41"/>
      <c r="E25" s="40"/>
      <c r="F25" s="44" t="s">
        <v>5</v>
      </c>
      <c r="G25" s="42">
        <f>SUM(G5:G24)</f>
        <v>0.33680555555555552</v>
      </c>
      <c r="H25" s="43"/>
      <c r="I25" s="41"/>
      <c r="N25" s="46"/>
    </row>
    <row r="26" spans="1:14" ht="15.75" thickBot="1" x14ac:dyDescent="0.3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9"/>
    </row>
    <row r="27" spans="1:14" ht="15.75" thickBot="1" x14ac:dyDescent="0.3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2"/>
    </row>
    <row r="28" spans="1:14" ht="21.75" thickBot="1" x14ac:dyDescent="0.3">
      <c r="A28" s="45"/>
      <c r="B28" s="57" t="s">
        <v>40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46"/>
    </row>
    <row r="29" spans="1:14" ht="15.75" thickBot="1" x14ac:dyDescent="0.3">
      <c r="A29" s="45"/>
      <c r="N29" s="46"/>
    </row>
    <row r="30" spans="1:14" ht="15.75" thickBot="1" x14ac:dyDescent="0.3">
      <c r="A30" s="45"/>
      <c r="B30" s="29" t="s">
        <v>0</v>
      </c>
      <c r="C30" s="28" t="s">
        <v>1</v>
      </c>
      <c r="D30" s="29" t="s">
        <v>2</v>
      </c>
      <c r="E30" s="29" t="s">
        <v>3</v>
      </c>
      <c r="F30" s="29" t="s">
        <v>4</v>
      </c>
      <c r="G30" s="29" t="s">
        <v>5</v>
      </c>
      <c r="H30" s="28" t="s">
        <v>6</v>
      </c>
      <c r="I30" s="29" t="s">
        <v>7</v>
      </c>
      <c r="K30" s="1" t="s">
        <v>0</v>
      </c>
      <c r="L30" s="3" t="s">
        <v>1</v>
      </c>
      <c r="M30" s="3" t="s">
        <v>51</v>
      </c>
      <c r="N30" s="46"/>
    </row>
    <row r="31" spans="1:14" x14ac:dyDescent="0.25">
      <c r="A31" s="45"/>
      <c r="B31" s="4" t="s">
        <v>8</v>
      </c>
      <c r="C31" s="30" t="s">
        <v>52</v>
      </c>
      <c r="D31" s="6"/>
      <c r="E31" s="31"/>
      <c r="F31" s="31"/>
      <c r="G31" s="56">
        <v>2.0833333333333332E-2</v>
      </c>
      <c r="H31" s="9"/>
      <c r="I31" s="32"/>
      <c r="K31" s="4" t="s">
        <v>8</v>
      </c>
      <c r="L31" s="30" t="s">
        <v>52</v>
      </c>
      <c r="M31" s="56">
        <v>2.0833333333333332E-2</v>
      </c>
      <c r="N31" s="46"/>
    </row>
    <row r="32" spans="1:14" x14ac:dyDescent="0.25">
      <c r="A32" s="45"/>
      <c r="B32" s="10" t="s">
        <v>9</v>
      </c>
      <c r="C32" s="33" t="s">
        <v>53</v>
      </c>
      <c r="D32" s="12"/>
      <c r="E32" s="34"/>
      <c r="F32" s="34"/>
      <c r="G32" s="56">
        <v>0.125</v>
      </c>
      <c r="H32" s="9"/>
      <c r="I32" s="35"/>
      <c r="K32" s="10" t="s">
        <v>9</v>
      </c>
      <c r="L32" s="33" t="s">
        <v>53</v>
      </c>
      <c r="M32" s="56">
        <v>0.125</v>
      </c>
      <c r="N32" s="46"/>
    </row>
    <row r="33" spans="1:14" x14ac:dyDescent="0.25">
      <c r="A33" s="45"/>
      <c r="B33" s="10" t="s">
        <v>10</v>
      </c>
      <c r="C33" s="33" t="s">
        <v>47</v>
      </c>
      <c r="D33" s="12"/>
      <c r="E33" s="34"/>
      <c r="F33" s="34"/>
      <c r="G33" s="56">
        <v>2.0833333333333332E-2</v>
      </c>
      <c r="H33" s="9"/>
      <c r="I33" s="35"/>
      <c r="K33" s="10" t="s">
        <v>10</v>
      </c>
      <c r="L33" s="33" t="s">
        <v>47</v>
      </c>
      <c r="M33" s="56">
        <v>2.0833333333333332E-2</v>
      </c>
      <c r="N33" s="46"/>
    </row>
    <row r="34" spans="1:14" x14ac:dyDescent="0.25">
      <c r="A34" s="45"/>
      <c r="B34" s="10" t="s">
        <v>11</v>
      </c>
      <c r="C34" s="33" t="s">
        <v>48</v>
      </c>
      <c r="D34" s="12"/>
      <c r="E34" s="34"/>
      <c r="F34" s="34"/>
      <c r="G34" s="56">
        <v>2.7777777777777776E-2</v>
      </c>
      <c r="H34" s="9"/>
      <c r="I34" s="35"/>
      <c r="K34" s="10" t="s">
        <v>11</v>
      </c>
      <c r="L34" s="33" t="s">
        <v>48</v>
      </c>
      <c r="M34" s="56">
        <v>2.7777777777777776E-2</v>
      </c>
      <c r="N34" s="46"/>
    </row>
    <row r="35" spans="1:14" x14ac:dyDescent="0.25">
      <c r="A35" s="45"/>
      <c r="B35" s="10" t="s">
        <v>12</v>
      </c>
      <c r="C35" s="33" t="s">
        <v>54</v>
      </c>
      <c r="D35" s="12"/>
      <c r="E35" s="34"/>
      <c r="F35" s="34"/>
      <c r="G35" s="56">
        <v>4.1666666666666664E-2</v>
      </c>
      <c r="H35" s="9"/>
      <c r="I35" s="35"/>
      <c r="K35" s="10" t="s">
        <v>12</v>
      </c>
      <c r="L35" s="33" t="s">
        <v>54</v>
      </c>
      <c r="M35" s="56">
        <v>4.1666666666666664E-2</v>
      </c>
      <c r="N35" s="46"/>
    </row>
    <row r="36" spans="1:14" x14ac:dyDescent="0.25">
      <c r="A36" s="45"/>
      <c r="B36" s="10" t="s">
        <v>13</v>
      </c>
      <c r="C36" s="33" t="s">
        <v>49</v>
      </c>
      <c r="D36" s="12"/>
      <c r="E36" s="34"/>
      <c r="F36" s="34"/>
      <c r="G36" s="56">
        <v>2.0833333333333332E-2</v>
      </c>
      <c r="H36" s="9"/>
      <c r="I36" s="35"/>
      <c r="K36" s="10" t="s">
        <v>13</v>
      </c>
      <c r="L36" s="33" t="s">
        <v>49</v>
      </c>
      <c r="M36" s="56">
        <v>2.0833333333333332E-2</v>
      </c>
      <c r="N36" s="46"/>
    </row>
    <row r="37" spans="1:14" x14ac:dyDescent="0.25">
      <c r="A37" s="45"/>
      <c r="B37" s="10" t="s">
        <v>14</v>
      </c>
      <c r="C37" s="33" t="s">
        <v>50</v>
      </c>
      <c r="D37" s="12"/>
      <c r="E37" s="34"/>
      <c r="F37" s="34"/>
      <c r="G37" s="56">
        <v>7.2916666666666671E-2</v>
      </c>
      <c r="H37" s="9"/>
      <c r="I37" s="35"/>
      <c r="K37" s="10" t="s">
        <v>14</v>
      </c>
      <c r="L37" s="33" t="s">
        <v>50</v>
      </c>
      <c r="M37" s="56">
        <v>7.2916666666666671E-2</v>
      </c>
      <c r="N37" s="46"/>
    </row>
    <row r="38" spans="1:14" x14ac:dyDescent="0.25">
      <c r="A38" s="45"/>
      <c r="B38" s="10" t="s">
        <v>15</v>
      </c>
      <c r="C38" s="33"/>
      <c r="D38" s="12"/>
      <c r="E38" s="34"/>
      <c r="F38" s="34"/>
      <c r="G38" s="56">
        <f>F41-E41</f>
        <v>0</v>
      </c>
      <c r="H38" s="9"/>
      <c r="I38" s="35"/>
      <c r="K38" s="10" t="s">
        <v>15</v>
      </c>
      <c r="L38" s="11"/>
      <c r="M38" s="56"/>
      <c r="N38" s="46"/>
    </row>
    <row r="39" spans="1:14" x14ac:dyDescent="0.25">
      <c r="A39" s="45"/>
      <c r="B39" s="10" t="s">
        <v>16</v>
      </c>
      <c r="C39" s="33"/>
      <c r="D39" s="12"/>
      <c r="E39" s="34"/>
      <c r="F39" s="34"/>
      <c r="G39" s="56">
        <f>F42-E42</f>
        <v>0</v>
      </c>
      <c r="H39" s="9"/>
      <c r="I39" s="35"/>
      <c r="K39" s="10" t="s">
        <v>16</v>
      </c>
      <c r="L39" s="11"/>
      <c r="M39" s="12"/>
      <c r="N39" s="46"/>
    </row>
    <row r="40" spans="1:14" x14ac:dyDescent="0.25">
      <c r="A40" s="45"/>
      <c r="B40" s="10" t="s">
        <v>17</v>
      </c>
      <c r="C40" s="36"/>
      <c r="D40" s="36"/>
      <c r="E40" s="37"/>
      <c r="F40" s="37"/>
      <c r="G40" s="56">
        <f>F43-E43</f>
        <v>0</v>
      </c>
      <c r="H40" s="9"/>
      <c r="I40" s="36"/>
      <c r="K40" s="10" t="s">
        <v>17</v>
      </c>
      <c r="L40" s="15"/>
      <c r="M40" s="15"/>
      <c r="N40" s="46"/>
    </row>
    <row r="41" spans="1:14" x14ac:dyDescent="0.25">
      <c r="A41" s="45"/>
      <c r="B41" s="10" t="s">
        <v>18</v>
      </c>
      <c r="C41" s="36"/>
      <c r="D41" s="36"/>
      <c r="E41" s="37"/>
      <c r="F41" s="37"/>
      <c r="G41" s="56">
        <f>F44-E44</f>
        <v>0</v>
      </c>
      <c r="H41" s="9"/>
      <c r="I41" s="36"/>
      <c r="K41" s="10" t="s">
        <v>18</v>
      </c>
      <c r="L41" s="15"/>
      <c r="M41" s="15"/>
      <c r="N41" s="46"/>
    </row>
    <row r="42" spans="1:14" ht="15.75" thickBot="1" x14ac:dyDescent="0.3">
      <c r="A42" s="45"/>
      <c r="B42" s="10" t="s">
        <v>19</v>
      </c>
      <c r="C42" s="36"/>
      <c r="D42" s="36"/>
      <c r="E42" s="37"/>
      <c r="F42" s="37"/>
      <c r="G42" s="56">
        <f>F45-E45</f>
        <v>0</v>
      </c>
      <c r="H42" s="9"/>
      <c r="I42" s="36"/>
      <c r="K42" s="53" t="s">
        <v>19</v>
      </c>
      <c r="L42" s="54"/>
      <c r="M42" s="54"/>
      <c r="N42" s="46"/>
    </row>
    <row r="43" spans="1:14" x14ac:dyDescent="0.25">
      <c r="A43" s="45"/>
      <c r="B43" s="10" t="s">
        <v>20</v>
      </c>
      <c r="C43" s="36"/>
      <c r="D43" s="36"/>
      <c r="E43" s="37"/>
      <c r="F43" s="37"/>
      <c r="G43" s="56">
        <f t="shared" ref="G43:G50" si="1">F43-E43</f>
        <v>0</v>
      </c>
      <c r="H43" s="9"/>
      <c r="I43" s="36"/>
      <c r="N43" s="46"/>
    </row>
    <row r="44" spans="1:14" x14ac:dyDescent="0.25">
      <c r="A44" s="45"/>
      <c r="B44" s="10" t="s">
        <v>21</v>
      </c>
      <c r="C44" s="36"/>
      <c r="D44" s="36"/>
      <c r="E44" s="37"/>
      <c r="F44" s="37"/>
      <c r="G44" s="56">
        <f t="shared" si="1"/>
        <v>0</v>
      </c>
      <c r="H44" s="9"/>
      <c r="I44" s="36"/>
      <c r="N44" s="46"/>
    </row>
    <row r="45" spans="1:14" ht="16.899999999999999" customHeight="1" x14ac:dyDescent="0.25">
      <c r="A45" s="45"/>
      <c r="B45" s="10" t="s">
        <v>22</v>
      </c>
      <c r="C45" s="36"/>
      <c r="D45" s="36"/>
      <c r="E45" s="37"/>
      <c r="F45" s="37"/>
      <c r="G45" s="56">
        <f t="shared" si="1"/>
        <v>0</v>
      </c>
      <c r="H45" s="9"/>
      <c r="I45" s="36"/>
      <c r="N45" s="46"/>
    </row>
    <row r="46" spans="1:14" x14ac:dyDescent="0.25">
      <c r="A46" s="45"/>
      <c r="B46" s="10" t="s">
        <v>23</v>
      </c>
      <c r="C46" s="36"/>
      <c r="D46" s="36"/>
      <c r="E46" s="37"/>
      <c r="F46" s="37"/>
      <c r="G46" s="56">
        <f t="shared" si="1"/>
        <v>0</v>
      </c>
      <c r="H46" s="9"/>
      <c r="I46" s="36"/>
      <c r="N46" s="46"/>
    </row>
    <row r="47" spans="1:14" x14ac:dyDescent="0.25">
      <c r="A47" s="45"/>
      <c r="B47" s="10" t="s">
        <v>24</v>
      </c>
      <c r="C47" s="36"/>
      <c r="D47" s="36"/>
      <c r="E47" s="37"/>
      <c r="F47" s="37"/>
      <c r="G47" s="56">
        <f t="shared" si="1"/>
        <v>0</v>
      </c>
      <c r="H47" s="9"/>
      <c r="I47" s="36"/>
      <c r="N47" s="46"/>
    </row>
    <row r="48" spans="1:14" x14ac:dyDescent="0.25">
      <c r="A48" s="45"/>
      <c r="B48" s="10" t="s">
        <v>25</v>
      </c>
      <c r="C48" s="36"/>
      <c r="D48" s="36"/>
      <c r="E48" s="37"/>
      <c r="F48" s="37"/>
      <c r="G48" s="56">
        <f t="shared" si="1"/>
        <v>0</v>
      </c>
      <c r="H48" s="9"/>
      <c r="I48" s="36"/>
      <c r="N48" s="46"/>
    </row>
    <row r="49" spans="1:14" x14ac:dyDescent="0.25">
      <c r="A49" s="45"/>
      <c r="B49" s="10" t="s">
        <v>26</v>
      </c>
      <c r="C49" s="36"/>
      <c r="D49" s="36"/>
      <c r="E49" s="37"/>
      <c r="F49" s="37"/>
      <c r="G49" s="56">
        <f t="shared" si="1"/>
        <v>0</v>
      </c>
      <c r="H49" s="9"/>
      <c r="I49" s="36"/>
      <c r="N49" s="46"/>
    </row>
    <row r="50" spans="1:14" ht="15.75" thickBot="1" x14ac:dyDescent="0.3">
      <c r="A50" s="45"/>
      <c r="B50" s="17" t="s">
        <v>27</v>
      </c>
      <c r="C50" s="38"/>
      <c r="D50" s="38"/>
      <c r="E50" s="39"/>
      <c r="F50" s="39"/>
      <c r="G50" s="56">
        <f t="shared" si="1"/>
        <v>0</v>
      </c>
      <c r="H50" s="9"/>
      <c r="I50" s="38"/>
      <c r="N50" s="46"/>
    </row>
    <row r="51" spans="1:14" ht="15.75" thickBot="1" x14ac:dyDescent="0.3">
      <c r="A51" s="45"/>
      <c r="B51" s="22"/>
      <c r="C51" s="43"/>
      <c r="D51" s="41"/>
      <c r="E51" s="40"/>
      <c r="F51" s="44" t="s">
        <v>5</v>
      </c>
      <c r="G51" s="42">
        <f>SUM(G31:G50)</f>
        <v>0.32986111111111116</v>
      </c>
      <c r="H51" s="43"/>
      <c r="I51" s="41"/>
      <c r="N51" s="46"/>
    </row>
    <row r="52" spans="1:14" ht="15.75" thickBot="1" x14ac:dyDescent="0.3">
      <c r="A52" s="47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9"/>
    </row>
    <row r="53" spans="1:14" ht="15.75" thickBot="1" x14ac:dyDescent="0.3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2"/>
    </row>
    <row r="54" spans="1:14" ht="21.75" thickBot="1" x14ac:dyDescent="0.3">
      <c r="A54" s="45"/>
      <c r="B54" s="57" t="s">
        <v>41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46"/>
    </row>
    <row r="55" spans="1:14" ht="15.75" thickBot="1" x14ac:dyDescent="0.3">
      <c r="A55" s="45"/>
      <c r="N55" s="46"/>
    </row>
    <row r="56" spans="1:14" ht="15.75" thickBot="1" x14ac:dyDescent="0.3">
      <c r="A56" s="45"/>
      <c r="B56" s="29" t="s">
        <v>0</v>
      </c>
      <c r="C56" s="28" t="s">
        <v>1</v>
      </c>
      <c r="D56" s="29" t="s">
        <v>2</v>
      </c>
      <c r="E56" s="29" t="s">
        <v>3</v>
      </c>
      <c r="F56" s="29" t="s">
        <v>4</v>
      </c>
      <c r="G56" s="29" t="s">
        <v>5</v>
      </c>
      <c r="H56" s="28" t="s">
        <v>6</v>
      </c>
      <c r="I56" s="29" t="s">
        <v>7</v>
      </c>
      <c r="K56" s="1" t="s">
        <v>0</v>
      </c>
      <c r="L56" s="3" t="s">
        <v>1</v>
      </c>
      <c r="M56" s="3" t="s">
        <v>51</v>
      </c>
      <c r="N56" s="46"/>
    </row>
    <row r="57" spans="1:14" x14ac:dyDescent="0.25">
      <c r="A57" s="45"/>
      <c r="B57" s="4" t="s">
        <v>8</v>
      </c>
      <c r="C57" s="30" t="s">
        <v>55</v>
      </c>
      <c r="D57" s="6"/>
      <c r="E57" s="31"/>
      <c r="F57" s="31"/>
      <c r="G57" s="56">
        <v>2.0833333333333332E-2</v>
      </c>
      <c r="H57" s="9"/>
      <c r="I57" s="32"/>
      <c r="K57" s="4" t="s">
        <v>8</v>
      </c>
      <c r="L57" s="30" t="s">
        <v>55</v>
      </c>
      <c r="M57" s="56">
        <v>2.0833333333333332E-2</v>
      </c>
      <c r="N57" s="46"/>
    </row>
    <row r="58" spans="1:14" x14ac:dyDescent="0.25">
      <c r="A58" s="45"/>
      <c r="B58" s="10" t="s">
        <v>9</v>
      </c>
      <c r="C58" s="33" t="s">
        <v>56</v>
      </c>
      <c r="D58" s="12"/>
      <c r="E58" s="34"/>
      <c r="F58" s="34"/>
      <c r="G58" s="56">
        <v>6.25E-2</v>
      </c>
      <c r="H58" s="9"/>
      <c r="I58" s="35"/>
      <c r="K58" s="10" t="s">
        <v>9</v>
      </c>
      <c r="L58" s="33" t="s">
        <v>56</v>
      </c>
      <c r="M58" s="56">
        <v>6.25E-2</v>
      </c>
      <c r="N58" s="46"/>
    </row>
    <row r="59" spans="1:14" x14ac:dyDescent="0.25">
      <c r="A59" s="45"/>
      <c r="B59" s="10" t="s">
        <v>10</v>
      </c>
      <c r="C59" s="33" t="s">
        <v>47</v>
      </c>
      <c r="D59" s="12"/>
      <c r="E59" s="34"/>
      <c r="F59" s="34"/>
      <c r="G59" s="56">
        <v>2.0833333333333332E-2</v>
      </c>
      <c r="H59" s="9"/>
      <c r="I59" s="35"/>
      <c r="K59" s="10" t="s">
        <v>10</v>
      </c>
      <c r="L59" s="33" t="s">
        <v>47</v>
      </c>
      <c r="M59" s="56">
        <v>2.0833333333333332E-2</v>
      </c>
      <c r="N59" s="46"/>
    </row>
    <row r="60" spans="1:14" x14ac:dyDescent="0.25">
      <c r="A60" s="45"/>
      <c r="B60" s="10" t="s">
        <v>11</v>
      </c>
      <c r="C60" s="33" t="s">
        <v>48</v>
      </c>
      <c r="D60" s="12"/>
      <c r="E60" s="34"/>
      <c r="F60" s="34"/>
      <c r="G60" s="56">
        <v>8.3333333333333329E-2</v>
      </c>
      <c r="H60" s="9"/>
      <c r="I60" s="35"/>
      <c r="K60" s="10" t="s">
        <v>11</v>
      </c>
      <c r="L60" s="33" t="s">
        <v>48</v>
      </c>
      <c r="M60" s="56">
        <v>8.3333333333333329E-2</v>
      </c>
      <c r="N60" s="46"/>
    </row>
    <row r="61" spans="1:14" x14ac:dyDescent="0.25">
      <c r="A61" s="45"/>
      <c r="B61" s="10" t="s">
        <v>12</v>
      </c>
      <c r="C61" s="33" t="s">
        <v>54</v>
      </c>
      <c r="D61" s="12"/>
      <c r="E61" s="34"/>
      <c r="F61" s="34"/>
      <c r="G61" s="56">
        <v>4.1666666666666664E-2</v>
      </c>
      <c r="H61" s="9"/>
      <c r="I61" s="35"/>
      <c r="K61" s="10" t="s">
        <v>12</v>
      </c>
      <c r="L61" s="33" t="s">
        <v>54</v>
      </c>
      <c r="M61" s="56">
        <v>4.1666666666666664E-2</v>
      </c>
      <c r="N61" s="46"/>
    </row>
    <row r="62" spans="1:14" x14ac:dyDescent="0.25">
      <c r="A62" s="45"/>
      <c r="B62" s="10" t="s">
        <v>13</v>
      </c>
      <c r="C62" s="33" t="s">
        <v>49</v>
      </c>
      <c r="D62" s="12"/>
      <c r="E62" s="34"/>
      <c r="F62" s="34"/>
      <c r="G62" s="56">
        <v>1.3888888888888888E-2</v>
      </c>
      <c r="H62" s="9"/>
      <c r="I62" s="35"/>
      <c r="K62" s="10" t="s">
        <v>13</v>
      </c>
      <c r="L62" s="33" t="s">
        <v>49</v>
      </c>
      <c r="M62" s="56">
        <v>1.3888888888888888E-2</v>
      </c>
      <c r="N62" s="46"/>
    </row>
    <row r="63" spans="1:14" x14ac:dyDescent="0.25">
      <c r="A63" s="45"/>
      <c r="B63" s="10" t="s">
        <v>14</v>
      </c>
      <c r="C63" s="33" t="s">
        <v>50</v>
      </c>
      <c r="D63" s="12"/>
      <c r="E63" s="34"/>
      <c r="F63" s="34"/>
      <c r="G63" s="56">
        <v>4.1666666666666664E-2</v>
      </c>
      <c r="H63" s="9"/>
      <c r="I63" s="35"/>
      <c r="K63" s="10" t="s">
        <v>14</v>
      </c>
      <c r="L63" s="33" t="s">
        <v>50</v>
      </c>
      <c r="M63" s="56">
        <v>4.1666666666666664E-2</v>
      </c>
      <c r="N63" s="46"/>
    </row>
    <row r="64" spans="1:14" x14ac:dyDescent="0.25">
      <c r="A64" s="45"/>
      <c r="B64" s="10" t="s">
        <v>15</v>
      </c>
      <c r="C64" s="33" t="s">
        <v>49</v>
      </c>
      <c r="D64" s="12"/>
      <c r="E64" s="34"/>
      <c r="F64" s="34"/>
      <c r="G64" s="56">
        <v>1.3888888888888888E-2</v>
      </c>
      <c r="H64" s="9"/>
      <c r="I64" s="35"/>
      <c r="K64" s="10" t="s">
        <v>15</v>
      </c>
      <c r="L64" s="33" t="s">
        <v>49</v>
      </c>
      <c r="M64" s="56">
        <v>1.3888888888888888E-2</v>
      </c>
      <c r="N64" s="46"/>
    </row>
    <row r="65" spans="1:14" x14ac:dyDescent="0.25">
      <c r="A65" s="45"/>
      <c r="B65" s="10" t="s">
        <v>16</v>
      </c>
      <c r="C65" s="33" t="s">
        <v>50</v>
      </c>
      <c r="D65" s="12"/>
      <c r="E65" s="34"/>
      <c r="F65" s="34"/>
      <c r="G65" s="56">
        <v>4.1666666666666664E-2</v>
      </c>
      <c r="H65" s="9"/>
      <c r="I65" s="35"/>
      <c r="K65" s="10" t="s">
        <v>16</v>
      </c>
      <c r="L65" s="33" t="s">
        <v>50</v>
      </c>
      <c r="M65" s="56">
        <v>4.1666666666666664E-2</v>
      </c>
      <c r="N65" s="46"/>
    </row>
    <row r="66" spans="1:14" x14ac:dyDescent="0.25">
      <c r="A66" s="45"/>
      <c r="B66" s="10" t="s">
        <v>17</v>
      </c>
      <c r="C66" s="36"/>
      <c r="D66" s="36"/>
      <c r="E66" s="37"/>
      <c r="F66" s="37"/>
      <c r="G66" s="56">
        <f t="shared" ref="G66:G76" si="2">F66-E66</f>
        <v>0</v>
      </c>
      <c r="H66" s="9"/>
      <c r="I66" s="36"/>
      <c r="K66" s="10" t="s">
        <v>17</v>
      </c>
      <c r="L66" s="15"/>
      <c r="M66" s="56"/>
      <c r="N66" s="46"/>
    </row>
    <row r="67" spans="1:14" x14ac:dyDescent="0.25">
      <c r="A67" s="45"/>
      <c r="B67" s="10" t="s">
        <v>18</v>
      </c>
      <c r="C67" s="36"/>
      <c r="D67" s="36"/>
      <c r="E67" s="37"/>
      <c r="F67" s="37"/>
      <c r="G67" s="56">
        <f t="shared" si="2"/>
        <v>0</v>
      </c>
      <c r="H67" s="9"/>
      <c r="I67" s="36"/>
      <c r="K67" s="10" t="s">
        <v>18</v>
      </c>
      <c r="L67" s="15"/>
      <c r="M67" s="56"/>
      <c r="N67" s="46"/>
    </row>
    <row r="68" spans="1:14" ht="15.75" thickBot="1" x14ac:dyDescent="0.3">
      <c r="A68" s="45"/>
      <c r="B68" s="10" t="s">
        <v>19</v>
      </c>
      <c r="C68" s="36"/>
      <c r="D68" s="36"/>
      <c r="E68" s="37"/>
      <c r="F68" s="37"/>
      <c r="G68" s="56">
        <f t="shared" si="2"/>
        <v>0</v>
      </c>
      <c r="H68" s="9"/>
      <c r="I68" s="36"/>
      <c r="K68" s="53" t="s">
        <v>19</v>
      </c>
      <c r="L68" s="54"/>
      <c r="M68" s="56"/>
      <c r="N68" s="46"/>
    </row>
    <row r="69" spans="1:14" x14ac:dyDescent="0.25">
      <c r="A69" s="45"/>
      <c r="B69" s="10" t="s">
        <v>20</v>
      </c>
      <c r="C69" s="36"/>
      <c r="D69" s="36"/>
      <c r="E69" s="37"/>
      <c r="F69" s="37"/>
      <c r="G69" s="56">
        <f t="shared" si="2"/>
        <v>0</v>
      </c>
      <c r="H69" s="9"/>
      <c r="I69" s="36"/>
      <c r="M69" s="56"/>
      <c r="N69" s="46"/>
    </row>
    <row r="70" spans="1:14" x14ac:dyDescent="0.25">
      <c r="A70" s="45"/>
      <c r="B70" s="10" t="s">
        <v>21</v>
      </c>
      <c r="C70" s="36"/>
      <c r="D70" s="36"/>
      <c r="E70" s="37"/>
      <c r="F70" s="37"/>
      <c r="G70" s="56">
        <f t="shared" si="2"/>
        <v>0</v>
      </c>
      <c r="H70" s="9"/>
      <c r="I70" s="36"/>
      <c r="N70" s="46"/>
    </row>
    <row r="71" spans="1:14" x14ac:dyDescent="0.25">
      <c r="A71" s="45"/>
      <c r="B71" s="10" t="s">
        <v>22</v>
      </c>
      <c r="C71" s="36"/>
      <c r="D71" s="36"/>
      <c r="E71" s="37"/>
      <c r="F71" s="37"/>
      <c r="G71" s="56">
        <f t="shared" si="2"/>
        <v>0</v>
      </c>
      <c r="H71" s="9"/>
      <c r="I71" s="36"/>
      <c r="N71" s="46"/>
    </row>
    <row r="72" spans="1:14" x14ac:dyDescent="0.25">
      <c r="A72" s="45"/>
      <c r="B72" s="10" t="s">
        <v>23</v>
      </c>
      <c r="C72" s="36"/>
      <c r="D72" s="36"/>
      <c r="E72" s="37"/>
      <c r="F72" s="37"/>
      <c r="G72" s="56">
        <f t="shared" si="2"/>
        <v>0</v>
      </c>
      <c r="H72" s="9"/>
      <c r="I72" s="36"/>
      <c r="N72" s="46"/>
    </row>
    <row r="73" spans="1:14" x14ac:dyDescent="0.25">
      <c r="A73" s="45"/>
      <c r="B73" s="10" t="s">
        <v>24</v>
      </c>
      <c r="C73" s="36"/>
      <c r="D73" s="36"/>
      <c r="E73" s="37"/>
      <c r="F73" s="37"/>
      <c r="G73" s="56">
        <f t="shared" si="2"/>
        <v>0</v>
      </c>
      <c r="H73" s="9"/>
      <c r="I73" s="36"/>
      <c r="N73" s="46"/>
    </row>
    <row r="74" spans="1:14" x14ac:dyDescent="0.25">
      <c r="A74" s="45"/>
      <c r="B74" s="10" t="s">
        <v>25</v>
      </c>
      <c r="C74" s="36"/>
      <c r="D74" s="36"/>
      <c r="E74" s="37"/>
      <c r="F74" s="37"/>
      <c r="G74" s="56">
        <f t="shared" si="2"/>
        <v>0</v>
      </c>
      <c r="H74" s="9"/>
      <c r="I74" s="36"/>
      <c r="N74" s="46"/>
    </row>
    <row r="75" spans="1:14" x14ac:dyDescent="0.25">
      <c r="A75" s="45"/>
      <c r="B75" s="10" t="s">
        <v>26</v>
      </c>
      <c r="C75" s="36"/>
      <c r="D75" s="36"/>
      <c r="E75" s="37"/>
      <c r="F75" s="37"/>
      <c r="G75" s="56">
        <f t="shared" si="2"/>
        <v>0</v>
      </c>
      <c r="H75" s="9"/>
      <c r="I75" s="36"/>
      <c r="N75" s="46"/>
    </row>
    <row r="76" spans="1:14" ht="15.75" thickBot="1" x14ac:dyDescent="0.3">
      <c r="A76" s="45"/>
      <c r="B76" s="17" t="s">
        <v>27</v>
      </c>
      <c r="C76" s="38"/>
      <c r="D76" s="38"/>
      <c r="E76" s="39"/>
      <c r="F76" s="39"/>
      <c r="G76" s="56">
        <f t="shared" si="2"/>
        <v>0</v>
      </c>
      <c r="H76" s="9"/>
      <c r="I76" s="38"/>
      <c r="N76" s="46"/>
    </row>
    <row r="77" spans="1:14" ht="15.75" thickBot="1" x14ac:dyDescent="0.3">
      <c r="A77" s="45"/>
      <c r="B77" s="22"/>
      <c r="C77" s="43"/>
      <c r="D77" s="41"/>
      <c r="E77" s="40"/>
      <c r="F77" s="44" t="s">
        <v>5</v>
      </c>
      <c r="G77" s="42">
        <f>SUM(G57:G76)</f>
        <v>0.34027777777777779</v>
      </c>
      <c r="H77" s="43"/>
      <c r="I77" s="41"/>
      <c r="N77" s="46"/>
    </row>
    <row r="78" spans="1:14" ht="15.75" thickBot="1" x14ac:dyDescent="0.3">
      <c r="A78" s="47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9"/>
    </row>
  </sheetData>
  <mergeCells count="3">
    <mergeCell ref="B2:M2"/>
    <mergeCell ref="B28:M28"/>
    <mergeCell ref="B54:M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A0FE-52FF-4937-ACC3-1240784BABAA}">
  <dimension ref="A1:N53"/>
  <sheetViews>
    <sheetView tabSelected="1" topLeftCell="A9" workbookViewId="0">
      <selection activeCell="Q26" sqref="Q26"/>
    </sheetView>
  </sheetViews>
  <sheetFormatPr defaultRowHeight="15" x14ac:dyDescent="0.25"/>
  <cols>
    <col min="1" max="1" width="3.5703125" customWidth="1"/>
    <col min="14" max="14" width="3.7109375" customWidth="1"/>
  </cols>
  <sheetData>
    <row r="1" spans="1:14" ht="15.75" thickBot="1" x14ac:dyDescent="0.3">
      <c r="A1" s="50" t="s">
        <v>71</v>
      </c>
      <c r="B1" s="51" t="s">
        <v>71</v>
      </c>
      <c r="C1" s="51" t="s">
        <v>71</v>
      </c>
      <c r="D1" s="51" t="s">
        <v>71</v>
      </c>
      <c r="E1" s="51" t="s">
        <v>71</v>
      </c>
      <c r="F1" s="51" t="s">
        <v>71</v>
      </c>
      <c r="G1" s="51" t="s">
        <v>71</v>
      </c>
      <c r="H1" s="51" t="s">
        <v>71</v>
      </c>
      <c r="I1" s="51" t="s">
        <v>71</v>
      </c>
      <c r="J1" s="51" t="s">
        <v>71</v>
      </c>
      <c r="K1" s="51" t="s">
        <v>71</v>
      </c>
      <c r="L1" s="51" t="s">
        <v>71</v>
      </c>
      <c r="M1" s="51" t="s">
        <v>71</v>
      </c>
      <c r="N1" s="52" t="s">
        <v>71</v>
      </c>
    </row>
    <row r="2" spans="1:14" ht="21.75" thickBot="1" x14ac:dyDescent="0.3">
      <c r="A2" s="45" t="s">
        <v>71</v>
      </c>
      <c r="B2" s="57" t="s">
        <v>57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  <c r="N2" s="46"/>
    </row>
    <row r="3" spans="1:14" ht="15.75" thickBot="1" x14ac:dyDescent="0.3">
      <c r="A3" s="45" t="s">
        <v>71</v>
      </c>
      <c r="N3" s="46"/>
    </row>
    <row r="4" spans="1:14" ht="15.75" thickBot="1" x14ac:dyDescent="0.3">
      <c r="A4" s="45" t="s">
        <v>71</v>
      </c>
      <c r="B4" s="29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7</v>
      </c>
      <c r="K4" s="29" t="s">
        <v>0</v>
      </c>
      <c r="L4" s="29" t="s">
        <v>1</v>
      </c>
      <c r="M4" s="3" t="s">
        <v>51</v>
      </c>
      <c r="N4" s="46"/>
    </row>
    <row r="5" spans="1:14" x14ac:dyDescent="0.25">
      <c r="A5" s="45" t="s">
        <v>71</v>
      </c>
      <c r="B5" s="4" t="s">
        <v>8</v>
      </c>
      <c r="C5" s="30" t="s">
        <v>63</v>
      </c>
      <c r="D5" s="6"/>
      <c r="E5" s="31"/>
      <c r="F5" s="31"/>
      <c r="G5" s="56">
        <v>1.7361111111111112E-2</v>
      </c>
      <c r="H5" s="9"/>
      <c r="I5" s="32"/>
      <c r="K5" s="4" t="s">
        <v>8</v>
      </c>
      <c r="L5" s="30" t="s">
        <v>63</v>
      </c>
      <c r="M5" s="56">
        <v>1.7361111111111112E-2</v>
      </c>
      <c r="N5" s="46"/>
    </row>
    <row r="6" spans="1:14" x14ac:dyDescent="0.25">
      <c r="A6" s="45" t="s">
        <v>71</v>
      </c>
      <c r="B6" s="10" t="s">
        <v>9</v>
      </c>
      <c r="C6" s="30" t="s">
        <v>64</v>
      </c>
      <c r="D6" s="12"/>
      <c r="E6" s="34"/>
      <c r="F6" s="34"/>
      <c r="G6" s="56">
        <v>1.7361111111111112E-2</v>
      </c>
      <c r="H6" s="9"/>
      <c r="I6" s="35"/>
      <c r="K6" s="10" t="s">
        <v>9</v>
      </c>
      <c r="L6" s="30" t="s">
        <v>64</v>
      </c>
      <c r="M6" s="56">
        <v>1.7361111111111112E-2</v>
      </c>
      <c r="N6" s="46"/>
    </row>
    <row r="7" spans="1:14" x14ac:dyDescent="0.25">
      <c r="A7" s="45" t="s">
        <v>71</v>
      </c>
      <c r="B7" s="10" t="s">
        <v>10</v>
      </c>
      <c r="C7" s="33" t="s">
        <v>68</v>
      </c>
      <c r="D7" s="12"/>
      <c r="E7" s="34"/>
      <c r="F7" s="34"/>
      <c r="G7" s="56">
        <v>2.0833333333333332E-2</v>
      </c>
      <c r="H7" s="9"/>
      <c r="I7" s="35"/>
      <c r="K7" s="10" t="s">
        <v>10</v>
      </c>
      <c r="L7" s="33" t="s">
        <v>68</v>
      </c>
      <c r="M7" s="56">
        <v>2.0833333333333332E-2</v>
      </c>
      <c r="N7" s="46"/>
    </row>
    <row r="8" spans="1:14" x14ac:dyDescent="0.25">
      <c r="A8" s="45" t="s">
        <v>71</v>
      </c>
      <c r="B8" s="10" t="s">
        <v>11</v>
      </c>
      <c r="C8" s="33" t="s">
        <v>69</v>
      </c>
      <c r="D8" s="12"/>
      <c r="E8" s="34"/>
      <c r="F8" s="34"/>
      <c r="G8" s="56">
        <v>2.0833333333333332E-2</v>
      </c>
      <c r="H8" s="9"/>
      <c r="I8" s="35"/>
      <c r="K8" s="10" t="s">
        <v>11</v>
      </c>
      <c r="L8" s="33" t="s">
        <v>69</v>
      </c>
      <c r="M8" s="56">
        <v>2.0833333333333332E-2</v>
      </c>
      <c r="N8" s="46"/>
    </row>
    <row r="9" spans="1:14" x14ac:dyDescent="0.25">
      <c r="A9" s="45" t="s">
        <v>71</v>
      </c>
      <c r="B9" s="10" t="s">
        <v>12</v>
      </c>
      <c r="C9" s="33" t="s">
        <v>66</v>
      </c>
      <c r="D9" s="12"/>
      <c r="E9" s="34"/>
      <c r="F9" s="34"/>
      <c r="G9" s="56">
        <v>2.4305555555555556E-2</v>
      </c>
      <c r="H9" s="9"/>
      <c r="I9" s="35"/>
      <c r="K9" s="10" t="s">
        <v>12</v>
      </c>
      <c r="L9" s="33" t="s">
        <v>66</v>
      </c>
      <c r="M9" s="56">
        <v>2.4305555555555556E-2</v>
      </c>
      <c r="N9" s="46"/>
    </row>
    <row r="10" spans="1:14" x14ac:dyDescent="0.25">
      <c r="A10" s="45" t="s">
        <v>71</v>
      </c>
      <c r="B10" s="10" t="s">
        <v>13</v>
      </c>
      <c r="C10" s="30" t="s">
        <v>70</v>
      </c>
      <c r="D10" s="12"/>
      <c r="E10" s="34"/>
      <c r="F10" s="34"/>
      <c r="G10" s="56">
        <v>1.7361111111111112E-2</v>
      </c>
      <c r="H10" s="9"/>
      <c r="I10" s="35"/>
      <c r="K10" s="10" t="s">
        <v>13</v>
      </c>
      <c r="L10" s="30" t="s">
        <v>70</v>
      </c>
      <c r="M10" s="56">
        <v>1.7361111111111112E-2</v>
      </c>
      <c r="N10" s="46"/>
    </row>
    <row r="11" spans="1:14" x14ac:dyDescent="0.25">
      <c r="A11" s="45" t="s">
        <v>71</v>
      </c>
      <c r="B11" s="10" t="s">
        <v>14</v>
      </c>
      <c r="C11" s="33" t="s">
        <v>65</v>
      </c>
      <c r="D11" s="12"/>
      <c r="E11" s="34"/>
      <c r="F11" s="34"/>
      <c r="G11" s="56">
        <v>2.0833333333333332E-2</v>
      </c>
      <c r="H11" s="9"/>
      <c r="I11" s="35"/>
      <c r="K11" s="10" t="s">
        <v>14</v>
      </c>
      <c r="L11" s="33" t="s">
        <v>65</v>
      </c>
      <c r="M11" s="56">
        <v>2.0833333333333332E-2</v>
      </c>
      <c r="N11" s="46"/>
    </row>
    <row r="12" spans="1:14" x14ac:dyDescent="0.25">
      <c r="A12" s="45" t="s">
        <v>71</v>
      </c>
      <c r="B12" s="10" t="s">
        <v>15</v>
      </c>
      <c r="C12" s="33" t="s">
        <v>67</v>
      </c>
      <c r="D12" s="12"/>
      <c r="E12" s="34"/>
      <c r="F12" s="34"/>
      <c r="G12" s="56">
        <v>2.0833333333333332E-2</v>
      </c>
      <c r="H12" s="9"/>
      <c r="I12" s="35"/>
      <c r="K12" s="10" t="s">
        <v>15</v>
      </c>
      <c r="L12" s="33" t="s">
        <v>67</v>
      </c>
      <c r="M12" s="56">
        <v>2.0833333333333332E-2</v>
      </c>
      <c r="N12" s="46"/>
    </row>
    <row r="13" spans="1:14" x14ac:dyDescent="0.25">
      <c r="A13" s="45" t="s">
        <v>71</v>
      </c>
      <c r="B13" s="10" t="s">
        <v>16</v>
      </c>
      <c r="C13" s="33" t="s">
        <v>47</v>
      </c>
      <c r="D13" s="12"/>
      <c r="E13" s="34"/>
      <c r="F13" s="34"/>
      <c r="G13" s="56">
        <v>1.7361111111111112E-2</v>
      </c>
      <c r="H13" s="9"/>
      <c r="I13" s="35"/>
      <c r="K13" s="10" t="s">
        <v>16</v>
      </c>
      <c r="L13" s="33" t="s">
        <v>47</v>
      </c>
      <c r="M13" s="56">
        <v>1.7361111111111112E-2</v>
      </c>
      <c r="N13" s="46"/>
    </row>
    <row r="14" spans="1:14" x14ac:dyDescent="0.25">
      <c r="A14" s="45" t="s">
        <v>71</v>
      </c>
      <c r="B14" s="10" t="s">
        <v>17</v>
      </c>
      <c r="C14" s="33" t="s">
        <v>62</v>
      </c>
      <c r="D14" s="12"/>
      <c r="E14" s="34"/>
      <c r="F14" s="34"/>
      <c r="G14" s="56">
        <v>1.7361111111111112E-2</v>
      </c>
      <c r="H14" s="9"/>
      <c r="I14" s="36"/>
      <c r="K14" s="10" t="s">
        <v>17</v>
      </c>
      <c r="L14" s="33" t="s">
        <v>62</v>
      </c>
      <c r="M14" s="56">
        <v>1.7361111111111112E-2</v>
      </c>
      <c r="N14" s="46"/>
    </row>
    <row r="15" spans="1:14" x14ac:dyDescent="0.25">
      <c r="A15" s="45" t="s">
        <v>71</v>
      </c>
      <c r="B15" s="10" t="s">
        <v>18</v>
      </c>
      <c r="C15" s="33" t="s">
        <v>48</v>
      </c>
      <c r="D15" s="36"/>
      <c r="E15" s="37"/>
      <c r="F15" s="37"/>
      <c r="G15" s="56">
        <v>1.3888888888888888E-2</v>
      </c>
      <c r="H15" s="9"/>
      <c r="I15" s="36"/>
      <c r="K15" s="10" t="s">
        <v>18</v>
      </c>
      <c r="L15" s="33" t="s">
        <v>48</v>
      </c>
      <c r="M15" s="56">
        <v>1.3888888888888888E-2</v>
      </c>
      <c r="N15" s="46"/>
    </row>
    <row r="16" spans="1:14" x14ac:dyDescent="0.25">
      <c r="A16" s="45" t="s">
        <v>71</v>
      </c>
      <c r="B16" s="10" t="s">
        <v>19</v>
      </c>
      <c r="C16" s="33" t="s">
        <v>61</v>
      </c>
      <c r="D16" s="36"/>
      <c r="E16" s="37"/>
      <c r="F16" s="37"/>
      <c r="G16" s="56">
        <v>1.3888888888888888E-2</v>
      </c>
      <c r="H16" s="9"/>
      <c r="I16" s="36"/>
      <c r="K16" s="10" t="s">
        <v>19</v>
      </c>
      <c r="L16" s="33" t="s">
        <v>61</v>
      </c>
      <c r="M16" s="56">
        <v>1.3888888888888888E-2</v>
      </c>
      <c r="N16" s="46"/>
    </row>
    <row r="17" spans="1:14" x14ac:dyDescent="0.25">
      <c r="A17" s="45" t="s">
        <v>71</v>
      </c>
      <c r="B17" s="10" t="s">
        <v>20</v>
      </c>
      <c r="C17" s="33" t="s">
        <v>58</v>
      </c>
      <c r="D17" s="36"/>
      <c r="E17" s="37"/>
      <c r="F17" s="37"/>
      <c r="G17" s="56">
        <v>2.4305555555555556E-2</v>
      </c>
      <c r="H17" s="9"/>
      <c r="I17" s="36"/>
      <c r="K17" s="10" t="s">
        <v>20</v>
      </c>
      <c r="L17" s="33" t="s">
        <v>58</v>
      </c>
      <c r="M17" s="56">
        <v>2.4305555555555556E-2</v>
      </c>
      <c r="N17" s="46"/>
    </row>
    <row r="18" spans="1:14" x14ac:dyDescent="0.25">
      <c r="A18" s="45" t="s">
        <v>71</v>
      </c>
      <c r="B18" s="10" t="s">
        <v>21</v>
      </c>
      <c r="C18" s="33" t="s">
        <v>60</v>
      </c>
      <c r="D18" s="36"/>
      <c r="E18" s="37"/>
      <c r="F18" s="37"/>
      <c r="G18" s="56">
        <v>2.4305555555555556E-2</v>
      </c>
      <c r="H18" s="9"/>
      <c r="I18" s="36"/>
      <c r="K18" s="10" t="s">
        <v>21</v>
      </c>
      <c r="L18" s="33" t="s">
        <v>60</v>
      </c>
      <c r="M18" s="56">
        <v>2.4305555555555556E-2</v>
      </c>
      <c r="N18" s="46"/>
    </row>
    <row r="19" spans="1:14" x14ac:dyDescent="0.25">
      <c r="A19" s="45" t="s">
        <v>71</v>
      </c>
      <c r="B19" s="10" t="s">
        <v>22</v>
      </c>
      <c r="C19" s="33" t="s">
        <v>50</v>
      </c>
      <c r="D19" s="36"/>
      <c r="E19" s="37"/>
      <c r="F19" s="37"/>
      <c r="G19" s="56">
        <v>3.125E-2</v>
      </c>
      <c r="H19" s="9"/>
      <c r="I19" s="36"/>
      <c r="K19" s="10" t="s">
        <v>22</v>
      </c>
      <c r="L19" s="33" t="s">
        <v>50</v>
      </c>
      <c r="M19" s="56">
        <v>3.125E-2</v>
      </c>
      <c r="N19" s="46"/>
    </row>
    <row r="20" spans="1:14" x14ac:dyDescent="0.25">
      <c r="A20" s="45" t="s">
        <v>71</v>
      </c>
      <c r="B20" s="10" t="s">
        <v>23</v>
      </c>
      <c r="C20" s="33" t="s">
        <v>59</v>
      </c>
      <c r="D20" s="36"/>
      <c r="E20" s="37"/>
      <c r="F20" s="37"/>
      <c r="G20" s="56">
        <v>3.125E-2</v>
      </c>
      <c r="H20" s="9"/>
      <c r="I20" s="36"/>
      <c r="K20" s="10" t="s">
        <v>23</v>
      </c>
      <c r="L20" s="33" t="s">
        <v>59</v>
      </c>
      <c r="M20" s="56">
        <v>3.125E-2</v>
      </c>
      <c r="N20" s="46"/>
    </row>
    <row r="21" spans="1:14" x14ac:dyDescent="0.25">
      <c r="A21" s="45" t="s">
        <v>71</v>
      </c>
      <c r="B21" s="10" t="s">
        <v>24</v>
      </c>
      <c r="C21" s="36"/>
      <c r="D21" s="36"/>
      <c r="E21" s="37"/>
      <c r="F21" s="37"/>
      <c r="G21" s="56">
        <f t="shared" ref="G14:G24" si="0">F21-E21</f>
        <v>0</v>
      </c>
      <c r="H21" s="9"/>
      <c r="I21" s="36"/>
      <c r="N21" s="46"/>
    </row>
    <row r="22" spans="1:14" x14ac:dyDescent="0.25">
      <c r="A22" s="45" t="s">
        <v>71</v>
      </c>
      <c r="B22" s="10" t="s">
        <v>25</v>
      </c>
      <c r="C22" s="36"/>
      <c r="D22" s="36"/>
      <c r="E22" s="37"/>
      <c r="F22" s="37"/>
      <c r="G22" s="56">
        <f t="shared" si="0"/>
        <v>0</v>
      </c>
      <c r="H22" s="9"/>
      <c r="I22" s="36"/>
      <c r="N22" s="46"/>
    </row>
    <row r="23" spans="1:14" x14ac:dyDescent="0.25">
      <c r="A23" s="45" t="s">
        <v>71</v>
      </c>
      <c r="B23" s="10" t="s">
        <v>26</v>
      </c>
      <c r="C23" s="36"/>
      <c r="D23" s="36"/>
      <c r="E23" s="37"/>
      <c r="F23" s="37"/>
      <c r="G23" s="56">
        <f t="shared" si="0"/>
        <v>0</v>
      </c>
      <c r="H23" s="9"/>
      <c r="I23" s="36"/>
      <c r="N23" s="46"/>
    </row>
    <row r="24" spans="1:14" ht="15.75" thickBot="1" x14ac:dyDescent="0.3">
      <c r="A24" s="45" t="s">
        <v>71</v>
      </c>
      <c r="B24" s="17" t="s">
        <v>27</v>
      </c>
      <c r="C24" s="38"/>
      <c r="D24" s="38"/>
      <c r="E24" s="39"/>
      <c r="F24" s="39"/>
      <c r="G24" s="56">
        <f t="shared" si="0"/>
        <v>0</v>
      </c>
      <c r="H24" s="9"/>
      <c r="I24" s="38"/>
      <c r="N24" s="46"/>
    </row>
    <row r="25" spans="1:14" ht="15.75" thickBot="1" x14ac:dyDescent="0.3">
      <c r="A25" s="45" t="s">
        <v>71</v>
      </c>
      <c r="B25" s="22"/>
      <c r="C25" s="40"/>
      <c r="D25" s="41"/>
      <c r="E25" s="40"/>
      <c r="F25" s="44" t="s">
        <v>5</v>
      </c>
      <c r="G25" s="42">
        <f>SUM(G5:G24)</f>
        <v>0.33333333333333337</v>
      </c>
      <c r="H25" s="43"/>
      <c r="I25" s="41"/>
      <c r="N25" s="46"/>
    </row>
    <row r="26" spans="1:14" ht="15.75" thickBot="1" x14ac:dyDescent="0.3">
      <c r="A26" s="47" t="s">
        <v>71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9"/>
    </row>
    <row r="27" spans="1:14" ht="15.75" thickBot="1" x14ac:dyDescent="0.3"/>
    <row r="28" spans="1:14" ht="15.75" thickBot="1" x14ac:dyDescent="0.3">
      <c r="A28" s="50" t="s">
        <v>71</v>
      </c>
      <c r="B28" s="51" t="s">
        <v>71</v>
      </c>
      <c r="C28" s="51" t="s">
        <v>71</v>
      </c>
      <c r="D28" s="51" t="s">
        <v>71</v>
      </c>
      <c r="E28" s="51" t="s">
        <v>71</v>
      </c>
      <c r="F28" s="51" t="s">
        <v>71</v>
      </c>
      <c r="G28" s="51" t="s">
        <v>71</v>
      </c>
      <c r="H28" s="51" t="s">
        <v>71</v>
      </c>
      <c r="I28" s="51" t="s">
        <v>71</v>
      </c>
      <c r="J28" s="51" t="s">
        <v>71</v>
      </c>
      <c r="K28" s="51" t="s">
        <v>71</v>
      </c>
      <c r="L28" s="51" t="s">
        <v>71</v>
      </c>
      <c r="M28" s="51" t="s">
        <v>71</v>
      </c>
      <c r="N28" s="52" t="s">
        <v>71</v>
      </c>
    </row>
    <row r="29" spans="1:14" ht="21.75" thickBot="1" x14ac:dyDescent="0.3">
      <c r="A29" s="45" t="s">
        <v>71</v>
      </c>
      <c r="B29" s="57" t="s">
        <v>72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46"/>
    </row>
    <row r="30" spans="1:14" ht="15.75" thickBot="1" x14ac:dyDescent="0.3">
      <c r="A30" s="45" t="s">
        <v>71</v>
      </c>
      <c r="N30" s="46"/>
    </row>
    <row r="31" spans="1:14" ht="15.75" thickBot="1" x14ac:dyDescent="0.3">
      <c r="A31" s="45" t="s">
        <v>71</v>
      </c>
      <c r="B31" s="29" t="s">
        <v>0</v>
      </c>
      <c r="C31" s="29" t="s">
        <v>1</v>
      </c>
      <c r="D31" s="29" t="s">
        <v>2</v>
      </c>
      <c r="E31" s="29" t="s">
        <v>3</v>
      </c>
      <c r="F31" s="29" t="s">
        <v>4</v>
      </c>
      <c r="G31" s="29" t="s">
        <v>5</v>
      </c>
      <c r="H31" s="29" t="s">
        <v>6</v>
      </c>
      <c r="I31" s="29" t="s">
        <v>7</v>
      </c>
      <c r="K31" s="29" t="s">
        <v>0</v>
      </c>
      <c r="L31" s="29" t="s">
        <v>1</v>
      </c>
      <c r="M31" s="3" t="s">
        <v>51</v>
      </c>
      <c r="N31" s="46"/>
    </row>
    <row r="32" spans="1:14" x14ac:dyDescent="0.25">
      <c r="A32" s="45" t="s">
        <v>71</v>
      </c>
      <c r="B32" s="4" t="s">
        <v>8</v>
      </c>
      <c r="C32" s="30" t="s">
        <v>63</v>
      </c>
      <c r="D32" s="6"/>
      <c r="E32" s="31"/>
      <c r="F32" s="31"/>
      <c r="G32" s="56">
        <v>1.7361111111111112E-2</v>
      </c>
      <c r="H32" s="9"/>
      <c r="I32" s="32"/>
      <c r="K32" s="4" t="s">
        <v>8</v>
      </c>
      <c r="L32" s="30" t="s">
        <v>63</v>
      </c>
      <c r="M32" s="56">
        <v>1.7361111111111112E-2</v>
      </c>
      <c r="N32" s="46"/>
    </row>
    <row r="33" spans="1:14" x14ac:dyDescent="0.25">
      <c r="A33" s="45" t="s">
        <v>71</v>
      </c>
      <c r="B33" s="10" t="s">
        <v>9</v>
      </c>
      <c r="C33" s="30" t="s">
        <v>64</v>
      </c>
      <c r="D33" s="12"/>
      <c r="E33" s="34"/>
      <c r="F33" s="34"/>
      <c r="G33" s="56">
        <v>1.7361111111111112E-2</v>
      </c>
      <c r="H33" s="9"/>
      <c r="I33" s="35"/>
      <c r="K33" s="10" t="s">
        <v>9</v>
      </c>
      <c r="L33" s="30" t="s">
        <v>64</v>
      </c>
      <c r="M33" s="56">
        <v>1.7361111111111112E-2</v>
      </c>
      <c r="N33" s="46"/>
    </row>
    <row r="34" spans="1:14" x14ac:dyDescent="0.25">
      <c r="A34" s="45" t="s">
        <v>71</v>
      </c>
      <c r="B34" s="10" t="s">
        <v>10</v>
      </c>
      <c r="C34" s="33" t="s">
        <v>68</v>
      </c>
      <c r="D34" s="12"/>
      <c r="E34" s="34"/>
      <c r="F34" s="34"/>
      <c r="G34" s="56">
        <v>2.0833333333333332E-2</v>
      </c>
      <c r="H34" s="9"/>
      <c r="I34" s="35"/>
      <c r="K34" s="10" t="s">
        <v>10</v>
      </c>
      <c r="L34" s="33" t="s">
        <v>68</v>
      </c>
      <c r="M34" s="56">
        <v>2.0833333333333332E-2</v>
      </c>
      <c r="N34" s="46"/>
    </row>
    <row r="35" spans="1:14" x14ac:dyDescent="0.25">
      <c r="A35" s="45" t="s">
        <v>71</v>
      </c>
      <c r="B35" s="10" t="s">
        <v>11</v>
      </c>
      <c r="C35" s="33" t="s">
        <v>69</v>
      </c>
      <c r="D35" s="12"/>
      <c r="E35" s="34"/>
      <c r="F35" s="34"/>
      <c r="G35" s="56">
        <v>2.0833333333333332E-2</v>
      </c>
      <c r="H35" s="9"/>
      <c r="I35" s="35"/>
      <c r="K35" s="10" t="s">
        <v>11</v>
      </c>
      <c r="L35" s="33" t="s">
        <v>69</v>
      </c>
      <c r="M35" s="56">
        <v>2.0833333333333332E-2</v>
      </c>
      <c r="N35" s="46"/>
    </row>
    <row r="36" spans="1:14" x14ac:dyDescent="0.25">
      <c r="A36" s="45" t="s">
        <v>71</v>
      </c>
      <c r="B36" s="10" t="s">
        <v>12</v>
      </c>
      <c r="C36" s="33" t="s">
        <v>66</v>
      </c>
      <c r="D36" s="12"/>
      <c r="E36" s="34"/>
      <c r="F36" s="34"/>
      <c r="G36" s="56">
        <v>2.4305555555555556E-2</v>
      </c>
      <c r="H36" s="9"/>
      <c r="I36" s="35"/>
      <c r="K36" s="10" t="s">
        <v>12</v>
      </c>
      <c r="L36" s="33" t="s">
        <v>66</v>
      </c>
      <c r="M36" s="56">
        <v>2.4305555555555556E-2</v>
      </c>
      <c r="N36" s="46"/>
    </row>
    <row r="37" spans="1:14" x14ac:dyDescent="0.25">
      <c r="A37" s="45" t="s">
        <v>71</v>
      </c>
      <c r="B37" s="10" t="s">
        <v>13</v>
      </c>
      <c r="C37" s="30" t="s">
        <v>70</v>
      </c>
      <c r="D37" s="12"/>
      <c r="E37" s="34"/>
      <c r="F37" s="34"/>
      <c r="G37" s="56">
        <v>1.7361111111111112E-2</v>
      </c>
      <c r="H37" s="9"/>
      <c r="I37" s="35"/>
      <c r="K37" s="10" t="s">
        <v>13</v>
      </c>
      <c r="L37" s="30" t="s">
        <v>70</v>
      </c>
      <c r="M37" s="56">
        <v>1.7361111111111112E-2</v>
      </c>
      <c r="N37" s="46"/>
    </row>
    <row r="38" spans="1:14" x14ac:dyDescent="0.25">
      <c r="A38" s="45" t="s">
        <v>71</v>
      </c>
      <c r="B38" s="10" t="s">
        <v>14</v>
      </c>
      <c r="C38" s="33" t="s">
        <v>65</v>
      </c>
      <c r="D38" s="12"/>
      <c r="E38" s="34"/>
      <c r="F38" s="34"/>
      <c r="G38" s="56">
        <v>2.0833333333333332E-2</v>
      </c>
      <c r="H38" s="9"/>
      <c r="I38" s="35"/>
      <c r="K38" s="10" t="s">
        <v>14</v>
      </c>
      <c r="L38" s="33" t="s">
        <v>65</v>
      </c>
      <c r="M38" s="56">
        <v>2.0833333333333332E-2</v>
      </c>
      <c r="N38" s="46"/>
    </row>
    <row r="39" spans="1:14" x14ac:dyDescent="0.25">
      <c r="A39" s="45" t="s">
        <v>71</v>
      </c>
      <c r="B39" s="10" t="s">
        <v>15</v>
      </c>
      <c r="C39" s="33" t="s">
        <v>67</v>
      </c>
      <c r="D39" s="12"/>
      <c r="E39" s="34"/>
      <c r="F39" s="34"/>
      <c r="G39" s="56">
        <v>2.0833333333333332E-2</v>
      </c>
      <c r="H39" s="9"/>
      <c r="I39" s="35"/>
      <c r="K39" s="10" t="s">
        <v>15</v>
      </c>
      <c r="L39" s="33" t="s">
        <v>67</v>
      </c>
      <c r="M39" s="56">
        <v>2.0833333333333332E-2</v>
      </c>
      <c r="N39" s="46"/>
    </row>
    <row r="40" spans="1:14" x14ac:dyDescent="0.25">
      <c r="A40" s="45" t="s">
        <v>71</v>
      </c>
      <c r="B40" s="10" t="s">
        <v>16</v>
      </c>
      <c r="C40" s="33" t="s">
        <v>47</v>
      </c>
      <c r="D40" s="12"/>
      <c r="E40" s="34"/>
      <c r="F40" s="34"/>
      <c r="G40" s="56">
        <v>1.7361111111111112E-2</v>
      </c>
      <c r="H40" s="9"/>
      <c r="I40" s="35"/>
      <c r="K40" s="10" t="s">
        <v>16</v>
      </c>
      <c r="L40" s="33" t="s">
        <v>47</v>
      </c>
      <c r="M40" s="56">
        <v>1.7361111111111112E-2</v>
      </c>
      <c r="N40" s="46"/>
    </row>
    <row r="41" spans="1:14" x14ac:dyDescent="0.25">
      <c r="A41" s="45" t="s">
        <v>71</v>
      </c>
      <c r="B41" s="10" t="s">
        <v>17</v>
      </c>
      <c r="C41" s="33" t="s">
        <v>62</v>
      </c>
      <c r="D41" s="12"/>
      <c r="E41" s="34"/>
      <c r="F41" s="34"/>
      <c r="G41" s="56">
        <v>1.7361111111111112E-2</v>
      </c>
      <c r="H41" s="9"/>
      <c r="I41" s="36"/>
      <c r="K41" s="10" t="s">
        <v>17</v>
      </c>
      <c r="L41" s="33" t="s">
        <v>62</v>
      </c>
      <c r="M41" s="56">
        <v>1.7361111111111112E-2</v>
      </c>
      <c r="N41" s="46"/>
    </row>
    <row r="42" spans="1:14" x14ac:dyDescent="0.25">
      <c r="A42" s="45" t="s">
        <v>71</v>
      </c>
      <c r="B42" s="10" t="s">
        <v>18</v>
      </c>
      <c r="C42" s="33" t="s">
        <v>48</v>
      </c>
      <c r="D42" s="36"/>
      <c r="E42" s="37"/>
      <c r="F42" s="37"/>
      <c r="G42" s="56">
        <v>1.3888888888888888E-2</v>
      </c>
      <c r="H42" s="9"/>
      <c r="I42" s="36"/>
      <c r="K42" s="10" t="s">
        <v>18</v>
      </c>
      <c r="L42" s="33" t="s">
        <v>48</v>
      </c>
      <c r="M42" s="56">
        <v>1.3888888888888888E-2</v>
      </c>
      <c r="N42" s="46"/>
    </row>
    <row r="43" spans="1:14" x14ac:dyDescent="0.25">
      <c r="A43" s="45" t="s">
        <v>71</v>
      </c>
      <c r="B43" s="10" t="s">
        <v>19</v>
      </c>
      <c r="C43" s="33" t="s">
        <v>61</v>
      </c>
      <c r="D43" s="36"/>
      <c r="E43" s="37"/>
      <c r="F43" s="37"/>
      <c r="G43" s="56">
        <v>1.3888888888888888E-2</v>
      </c>
      <c r="H43" s="9"/>
      <c r="I43" s="36"/>
      <c r="K43" s="10" t="s">
        <v>19</v>
      </c>
      <c r="L43" s="33" t="s">
        <v>61</v>
      </c>
      <c r="M43" s="56">
        <v>1.3888888888888888E-2</v>
      </c>
      <c r="N43" s="46"/>
    </row>
    <row r="44" spans="1:14" x14ac:dyDescent="0.25">
      <c r="A44" s="45" t="s">
        <v>71</v>
      </c>
      <c r="B44" s="10" t="s">
        <v>20</v>
      </c>
      <c r="C44" s="33" t="s">
        <v>58</v>
      </c>
      <c r="D44" s="36"/>
      <c r="E44" s="37"/>
      <c r="F44" s="37"/>
      <c r="G44" s="56">
        <v>2.4305555555555556E-2</v>
      </c>
      <c r="H44" s="9"/>
      <c r="I44" s="36"/>
      <c r="K44" s="10" t="s">
        <v>20</v>
      </c>
      <c r="L44" s="33" t="s">
        <v>58</v>
      </c>
      <c r="M44" s="56">
        <v>2.4305555555555556E-2</v>
      </c>
      <c r="N44" s="46"/>
    </row>
    <row r="45" spans="1:14" ht="16.899999999999999" customHeight="1" x14ac:dyDescent="0.25">
      <c r="A45" s="45" t="s">
        <v>71</v>
      </c>
      <c r="B45" s="10" t="s">
        <v>21</v>
      </c>
      <c r="C45" s="33" t="s">
        <v>60</v>
      </c>
      <c r="D45" s="36"/>
      <c r="E45" s="37"/>
      <c r="F45" s="37"/>
      <c r="G45" s="56">
        <v>2.4305555555555556E-2</v>
      </c>
      <c r="H45" s="9"/>
      <c r="I45" s="36"/>
      <c r="K45" s="10" t="s">
        <v>21</v>
      </c>
      <c r="L45" s="33" t="s">
        <v>60</v>
      </c>
      <c r="M45" s="56">
        <v>2.4305555555555556E-2</v>
      </c>
      <c r="N45" s="46"/>
    </row>
    <row r="46" spans="1:14" x14ac:dyDescent="0.25">
      <c r="A46" s="45" t="s">
        <v>71</v>
      </c>
      <c r="B46" s="10" t="s">
        <v>22</v>
      </c>
      <c r="C46" s="33" t="s">
        <v>50</v>
      </c>
      <c r="D46" s="36"/>
      <c r="E46" s="37"/>
      <c r="F46" s="37"/>
      <c r="G46" s="56">
        <v>3.125E-2</v>
      </c>
      <c r="H46" s="9"/>
      <c r="I46" s="36"/>
      <c r="K46" s="10" t="s">
        <v>22</v>
      </c>
      <c r="L46" s="33" t="s">
        <v>50</v>
      </c>
      <c r="M46" s="56">
        <v>3.125E-2</v>
      </c>
      <c r="N46" s="46"/>
    </row>
    <row r="47" spans="1:14" x14ac:dyDescent="0.25">
      <c r="A47" s="45" t="s">
        <v>71</v>
      </c>
      <c r="B47" s="10" t="s">
        <v>23</v>
      </c>
      <c r="C47" s="33" t="s">
        <v>59</v>
      </c>
      <c r="D47" s="36"/>
      <c r="E47" s="37"/>
      <c r="F47" s="37"/>
      <c r="G47" s="56">
        <v>3.125E-2</v>
      </c>
      <c r="H47" s="9"/>
      <c r="I47" s="36"/>
      <c r="K47" s="10" t="s">
        <v>23</v>
      </c>
      <c r="L47" s="33" t="s">
        <v>59</v>
      </c>
      <c r="M47" s="56">
        <v>3.125E-2</v>
      </c>
      <c r="N47" s="46"/>
    </row>
    <row r="48" spans="1:14" x14ac:dyDescent="0.25">
      <c r="A48" s="45" t="s">
        <v>71</v>
      </c>
      <c r="B48" s="10" t="s">
        <v>24</v>
      </c>
      <c r="C48" s="36"/>
      <c r="D48" s="36"/>
      <c r="E48" s="37"/>
      <c r="F48" s="37"/>
      <c r="G48" s="56">
        <f t="shared" ref="G48:G53" si="1">F48-E48</f>
        <v>0</v>
      </c>
      <c r="H48" s="9"/>
      <c r="I48" s="36"/>
      <c r="N48" s="46"/>
    </row>
    <row r="49" spans="1:14" x14ac:dyDescent="0.25">
      <c r="A49" s="45" t="s">
        <v>71</v>
      </c>
      <c r="B49" s="10" t="s">
        <v>25</v>
      </c>
      <c r="C49" s="36"/>
      <c r="D49" s="36"/>
      <c r="E49" s="37"/>
      <c r="F49" s="37"/>
      <c r="G49" s="56">
        <f t="shared" si="1"/>
        <v>0</v>
      </c>
      <c r="H49" s="9"/>
      <c r="I49" s="36"/>
      <c r="N49" s="46"/>
    </row>
    <row r="50" spans="1:14" x14ac:dyDescent="0.25">
      <c r="A50" s="45" t="s">
        <v>71</v>
      </c>
      <c r="B50" s="10" t="s">
        <v>26</v>
      </c>
      <c r="C50" s="36"/>
      <c r="D50" s="36"/>
      <c r="E50" s="37"/>
      <c r="F50" s="37"/>
      <c r="G50" s="56">
        <f t="shared" si="1"/>
        <v>0</v>
      </c>
      <c r="H50" s="9"/>
      <c r="I50" s="36"/>
      <c r="N50" s="46"/>
    </row>
    <row r="51" spans="1:14" ht="15.75" thickBot="1" x14ac:dyDescent="0.3">
      <c r="A51" s="45" t="s">
        <v>71</v>
      </c>
      <c r="B51" s="17" t="s">
        <v>27</v>
      </c>
      <c r="C51" s="38"/>
      <c r="D51" s="38"/>
      <c r="E51" s="39"/>
      <c r="F51" s="39"/>
      <c r="G51" s="56">
        <f t="shared" si="1"/>
        <v>0</v>
      </c>
      <c r="H51" s="9"/>
      <c r="I51" s="38"/>
      <c r="N51" s="46"/>
    </row>
    <row r="52" spans="1:14" ht="15.75" thickBot="1" x14ac:dyDescent="0.3">
      <c r="A52" s="45" t="s">
        <v>71</v>
      </c>
      <c r="B52" s="22"/>
      <c r="C52" s="40"/>
      <c r="D52" s="41"/>
      <c r="E52" s="40"/>
      <c r="F52" s="44" t="s">
        <v>5</v>
      </c>
      <c r="G52" s="42">
        <f>SUM(G32:G51)</f>
        <v>0.33333333333333337</v>
      </c>
      <c r="H52" s="43"/>
      <c r="I52" s="41"/>
      <c r="N52" s="46"/>
    </row>
    <row r="53" spans="1:14" ht="15.75" thickBot="1" x14ac:dyDescent="0.3">
      <c r="A53" s="47" t="s">
        <v>71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9"/>
    </row>
  </sheetData>
  <mergeCells count="2">
    <mergeCell ref="B2:M2"/>
    <mergeCell ref="B29:M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day_month</vt:lpstr>
      <vt:lpstr>January</vt:lpstr>
      <vt:lpstr>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2026-02-03T14:01:21Z</dcterms:modified>
</cp:coreProperties>
</file>