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3B9697C7-4A57-41CD-B31E-9AB87BD4FC96}" xr6:coauthVersionLast="47" xr6:coauthVersionMax="47" xr10:uidLastSave="{00000000-0000-0000-0000-000000000000}"/>
  <bookViews>
    <workbookView xWindow="-108" yWindow="-108" windowWidth="23256" windowHeight="12456" firstSheet="12" activeTab="17" xr2:uid="{00000000-000D-0000-FFFF-FFFF00000000}"/>
  </bookViews>
  <sheets>
    <sheet name="day_month" sheetId="1" r:id="rId1"/>
    <sheet name="1st_October" sheetId="2" r:id="rId2"/>
    <sheet name="3rd_October" sheetId="3" r:id="rId3"/>
    <sheet name="4th_October" sheetId="4" r:id="rId4"/>
    <sheet name="14th_October" sheetId="5" r:id="rId5"/>
    <sheet name="15th_October" sheetId="6" r:id="rId6"/>
    <sheet name="16th_October" sheetId="7" r:id="rId7"/>
    <sheet name="17th_October" sheetId="8" r:id="rId8"/>
    <sheet name="18th_October" sheetId="9" r:id="rId9"/>
    <sheet name="19th_October" sheetId="10" r:id="rId10"/>
    <sheet name="21st_October" sheetId="11" r:id="rId11"/>
    <sheet name="22nd_October" sheetId="12" r:id="rId12"/>
    <sheet name="23rd_October" sheetId="13" r:id="rId13"/>
    <sheet name="28th_October" sheetId="14" r:id="rId14"/>
    <sheet name="24th_October" sheetId="15" r:id="rId15"/>
    <sheet name="25th_October" sheetId="16" r:id="rId16"/>
    <sheet name="29th_October" sheetId="17" r:id="rId17"/>
    <sheet name="30th_October" sheetId="19" r:id="rId18"/>
    <sheet name="Trash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9" l="1"/>
  <c r="A21" i="19"/>
  <c r="E20" i="19"/>
  <c r="A20" i="19"/>
  <c r="E19" i="19"/>
  <c r="A19" i="19"/>
  <c r="E18" i="19"/>
  <c r="A18" i="19"/>
  <c r="E17" i="19"/>
  <c r="A17" i="19"/>
  <c r="E16" i="19"/>
  <c r="A16" i="19"/>
  <c r="E15" i="19"/>
  <c r="A15" i="19"/>
  <c r="E14" i="19"/>
  <c r="A14" i="19"/>
  <c r="E13" i="19"/>
  <c r="A13" i="19"/>
  <c r="E12" i="19"/>
  <c r="A12" i="19"/>
  <c r="E11" i="19"/>
  <c r="A11" i="19"/>
  <c r="E10" i="19"/>
  <c r="A10" i="19"/>
  <c r="E9" i="19"/>
  <c r="A9" i="19"/>
  <c r="E8" i="19"/>
  <c r="A8" i="19"/>
  <c r="E7" i="19"/>
  <c r="A7" i="19"/>
  <c r="E6" i="19"/>
  <c r="A6" i="19"/>
  <c r="E5" i="19"/>
  <c r="E22" i="19" s="1"/>
  <c r="A5" i="19"/>
  <c r="E4" i="19"/>
  <c r="A4" i="19"/>
  <c r="E3" i="19"/>
  <c r="A3" i="19"/>
  <c r="E2" i="19"/>
  <c r="A2" i="19"/>
  <c r="E21" i="17"/>
  <c r="A21" i="17"/>
  <c r="E20" i="17"/>
  <c r="A20" i="17"/>
  <c r="E19" i="17"/>
  <c r="A19" i="17"/>
  <c r="E18" i="17"/>
  <c r="A18" i="17"/>
  <c r="E17" i="17"/>
  <c r="A17" i="17"/>
  <c r="E16" i="17"/>
  <c r="A16" i="17"/>
  <c r="E15" i="17"/>
  <c r="A15" i="17"/>
  <c r="E14" i="17"/>
  <c r="A14" i="17"/>
  <c r="E13" i="17"/>
  <c r="A13" i="17"/>
  <c r="E12" i="17"/>
  <c r="A12" i="17"/>
  <c r="E11" i="17"/>
  <c r="A11" i="17"/>
  <c r="E10" i="17"/>
  <c r="A10" i="17"/>
  <c r="E9" i="17"/>
  <c r="A9" i="17"/>
  <c r="E8" i="17"/>
  <c r="A8" i="17"/>
  <c r="E7" i="17"/>
  <c r="A7" i="17"/>
  <c r="E6" i="17"/>
  <c r="A6" i="17"/>
  <c r="E5" i="17"/>
  <c r="A5" i="17"/>
  <c r="E4" i="17"/>
  <c r="A4" i="17"/>
  <c r="E3" i="17"/>
  <c r="A3" i="17"/>
  <c r="E2" i="17"/>
  <c r="E22" i="17" s="1"/>
  <c r="A2" i="17"/>
  <c r="E22" i="16"/>
  <c r="E21" i="16"/>
  <c r="A21" i="16"/>
  <c r="E20" i="16"/>
  <c r="A20" i="16"/>
  <c r="E19" i="16"/>
  <c r="A19" i="16"/>
  <c r="E18" i="16"/>
  <c r="A18" i="16"/>
  <c r="E17" i="16"/>
  <c r="A17" i="16"/>
  <c r="E16" i="16"/>
  <c r="A16" i="16"/>
  <c r="E15" i="16"/>
  <c r="A15" i="16"/>
  <c r="E14" i="16"/>
  <c r="A14" i="16"/>
  <c r="E13" i="16"/>
  <c r="A13" i="16"/>
  <c r="E12" i="16"/>
  <c r="A12" i="16"/>
  <c r="E11" i="16"/>
  <c r="A11" i="16"/>
  <c r="E10" i="16"/>
  <c r="A10" i="16"/>
  <c r="E9" i="16"/>
  <c r="A9" i="16"/>
  <c r="E8" i="16"/>
  <c r="A8" i="16"/>
  <c r="E7" i="16"/>
  <c r="A7" i="16"/>
  <c r="E6" i="16"/>
  <c r="A6" i="16"/>
  <c r="E5" i="16"/>
  <c r="A5" i="16"/>
  <c r="E4" i="16"/>
  <c r="A4" i="16"/>
  <c r="E3" i="16"/>
  <c r="A3" i="16"/>
  <c r="E2" i="16"/>
  <c r="A2" i="16"/>
  <c r="E21" i="15"/>
  <c r="A21" i="15"/>
  <c r="E20" i="15"/>
  <c r="A20" i="15"/>
  <c r="E19" i="15"/>
  <c r="A19" i="15"/>
  <c r="E18" i="15"/>
  <c r="A18" i="15"/>
  <c r="E17" i="15"/>
  <c r="A17" i="15"/>
  <c r="E16" i="15"/>
  <c r="A16" i="15"/>
  <c r="E15" i="15"/>
  <c r="A15" i="15"/>
  <c r="E14" i="15"/>
  <c r="A14" i="15"/>
  <c r="E13" i="15"/>
  <c r="A13" i="15"/>
  <c r="E12" i="15"/>
  <c r="A12" i="15"/>
  <c r="E11" i="15"/>
  <c r="A11" i="15"/>
  <c r="E10" i="15"/>
  <c r="A10" i="15"/>
  <c r="E9" i="15"/>
  <c r="A9" i="15"/>
  <c r="E8" i="15"/>
  <c r="A8" i="15"/>
  <c r="E7" i="15"/>
  <c r="A7" i="15"/>
  <c r="E6" i="15"/>
  <c r="A6" i="15"/>
  <c r="E5" i="15"/>
  <c r="A5" i="15"/>
  <c r="E4" i="15"/>
  <c r="A4" i="15"/>
  <c r="E3" i="15"/>
  <c r="A3" i="15"/>
  <c r="E2" i="15"/>
  <c r="E22" i="15" s="1"/>
  <c r="A2" i="15"/>
  <c r="E21" i="14"/>
  <c r="A21" i="14"/>
  <c r="E20" i="14"/>
  <c r="A20" i="14"/>
  <c r="E19" i="14"/>
  <c r="A19" i="14"/>
  <c r="E18" i="14"/>
  <c r="A18" i="14"/>
  <c r="E17" i="14"/>
  <c r="A17" i="14"/>
  <c r="E16" i="14"/>
  <c r="A16" i="14"/>
  <c r="E15" i="14"/>
  <c r="A15" i="14"/>
  <c r="E14" i="14"/>
  <c r="A14" i="14"/>
  <c r="E13" i="14"/>
  <c r="A13" i="14"/>
  <c r="E12" i="14"/>
  <c r="A12" i="14"/>
  <c r="E11" i="14"/>
  <c r="A11" i="14"/>
  <c r="E10" i="14"/>
  <c r="A10" i="14"/>
  <c r="E9" i="14"/>
  <c r="A9" i="14"/>
  <c r="E8" i="14"/>
  <c r="A8" i="14"/>
  <c r="E7" i="14"/>
  <c r="A7" i="14"/>
  <c r="E6" i="14"/>
  <c r="A6" i="14"/>
  <c r="E5" i="14"/>
  <c r="A5" i="14"/>
  <c r="E4" i="14"/>
  <c r="A4" i="14"/>
  <c r="E3" i="14"/>
  <c r="E22" i="14" s="1"/>
  <c r="A3" i="14"/>
  <c r="E2" i="14"/>
  <c r="A2" i="14"/>
  <c r="E21" i="13"/>
  <c r="A21" i="13"/>
  <c r="E20" i="13"/>
  <c r="A20" i="13"/>
  <c r="E19" i="13"/>
  <c r="A19" i="13"/>
  <c r="E18" i="13"/>
  <c r="A18" i="13"/>
  <c r="E17" i="13"/>
  <c r="A17" i="13"/>
  <c r="E16" i="13"/>
  <c r="A16" i="13"/>
  <c r="E15" i="13"/>
  <c r="A15" i="13"/>
  <c r="E14" i="13"/>
  <c r="A14" i="13"/>
  <c r="E13" i="13"/>
  <c r="A13" i="13"/>
  <c r="E12" i="13"/>
  <c r="A12" i="13"/>
  <c r="E11" i="13"/>
  <c r="A11" i="13"/>
  <c r="E10" i="13"/>
  <c r="A10" i="13"/>
  <c r="E9" i="13"/>
  <c r="A9" i="13"/>
  <c r="E8" i="13"/>
  <c r="A8" i="13"/>
  <c r="E7" i="13"/>
  <c r="A7" i="13"/>
  <c r="E6" i="13"/>
  <c r="A6" i="13"/>
  <c r="E5" i="13"/>
  <c r="E22" i="13" s="1"/>
  <c r="A5" i="13"/>
  <c r="E4" i="13"/>
  <c r="A4" i="13"/>
  <c r="E3" i="13"/>
  <c r="A3" i="13"/>
  <c r="E2" i="13"/>
  <c r="A2" i="13"/>
  <c r="E21" i="12"/>
  <c r="A21" i="12"/>
  <c r="E20" i="12"/>
  <c r="A20" i="12"/>
  <c r="E19" i="12"/>
  <c r="A19" i="12"/>
  <c r="E18" i="12"/>
  <c r="A18" i="12"/>
  <c r="E17" i="12"/>
  <c r="A17" i="12"/>
  <c r="E16" i="12"/>
  <c r="A16" i="12"/>
  <c r="E15" i="12"/>
  <c r="A15" i="12"/>
  <c r="E14" i="12"/>
  <c r="A14" i="12"/>
  <c r="E13" i="12"/>
  <c r="A13" i="12"/>
  <c r="E12" i="12"/>
  <c r="A12" i="12"/>
  <c r="E11" i="12"/>
  <c r="A11" i="12"/>
  <c r="E10" i="12"/>
  <c r="A10" i="12"/>
  <c r="E9" i="12"/>
  <c r="A9" i="12"/>
  <c r="E8" i="12"/>
  <c r="A8" i="12"/>
  <c r="E7" i="12"/>
  <c r="A7" i="12"/>
  <c r="E6" i="12"/>
  <c r="A6" i="12"/>
  <c r="E5" i="12"/>
  <c r="A5" i="12"/>
  <c r="E4" i="12"/>
  <c r="A4" i="12"/>
  <c r="E3" i="12"/>
  <c r="A3" i="12"/>
  <c r="E2" i="12"/>
  <c r="E22" i="12" s="1"/>
  <c r="A2" i="12"/>
  <c r="E21" i="11"/>
  <c r="A21" i="11"/>
  <c r="E20" i="11"/>
  <c r="A20" i="11"/>
  <c r="E19" i="11"/>
  <c r="A19" i="11"/>
  <c r="E18" i="11"/>
  <c r="A18" i="11"/>
  <c r="E17" i="11"/>
  <c r="A17" i="11"/>
  <c r="E16" i="11"/>
  <c r="A16" i="11"/>
  <c r="E15" i="11"/>
  <c r="A15" i="11"/>
  <c r="E14" i="11"/>
  <c r="A14" i="11"/>
  <c r="E13" i="11"/>
  <c r="A13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E3" i="11"/>
  <c r="A3" i="11"/>
  <c r="E2" i="11"/>
  <c r="E22" i="11" s="1"/>
  <c r="A2" i="11"/>
  <c r="E21" i="10"/>
  <c r="A21" i="10"/>
  <c r="E20" i="10"/>
  <c r="A20" i="10"/>
  <c r="E19" i="10"/>
  <c r="A19" i="10"/>
  <c r="E18" i="10"/>
  <c r="A18" i="10"/>
  <c r="E17" i="10"/>
  <c r="A17" i="10"/>
  <c r="E16" i="10"/>
  <c r="A16" i="10"/>
  <c r="E15" i="10"/>
  <c r="A15" i="10"/>
  <c r="E14" i="10"/>
  <c r="A14" i="10"/>
  <c r="E13" i="10"/>
  <c r="A13" i="10"/>
  <c r="E12" i="10"/>
  <c r="A12" i="10"/>
  <c r="E11" i="10"/>
  <c r="A11" i="10"/>
  <c r="E10" i="10"/>
  <c r="A10" i="10"/>
  <c r="E9" i="10"/>
  <c r="A9" i="10"/>
  <c r="E8" i="10"/>
  <c r="A8" i="10"/>
  <c r="E7" i="10"/>
  <c r="A7" i="10"/>
  <c r="E6" i="10"/>
  <c r="A6" i="10"/>
  <c r="E5" i="10"/>
  <c r="A5" i="10"/>
  <c r="E4" i="10"/>
  <c r="A4" i="10"/>
  <c r="E3" i="10"/>
  <c r="A3" i="10"/>
  <c r="E2" i="10"/>
  <c r="E22" i="10" s="1"/>
  <c r="A2" i="10"/>
  <c r="E21" i="9"/>
  <c r="A21" i="9"/>
  <c r="E20" i="9"/>
  <c r="A20" i="9"/>
  <c r="E19" i="9"/>
  <c r="A19" i="9"/>
  <c r="E18" i="9"/>
  <c r="A18" i="9"/>
  <c r="E17" i="9"/>
  <c r="A17" i="9"/>
  <c r="E16" i="9"/>
  <c r="A16" i="9"/>
  <c r="E15" i="9"/>
  <c r="A15" i="9"/>
  <c r="E14" i="9"/>
  <c r="A14" i="9"/>
  <c r="E13" i="9"/>
  <c r="A13" i="9"/>
  <c r="E12" i="9"/>
  <c r="A12" i="9"/>
  <c r="E11" i="9"/>
  <c r="A11" i="9"/>
  <c r="E10" i="9"/>
  <c r="A10" i="9"/>
  <c r="E9" i="9"/>
  <c r="A9" i="9"/>
  <c r="E8" i="9"/>
  <c r="A8" i="9"/>
  <c r="E7" i="9"/>
  <c r="A7" i="9"/>
  <c r="E6" i="9"/>
  <c r="A6" i="9"/>
  <c r="E5" i="9"/>
  <c r="A5" i="9"/>
  <c r="E4" i="9"/>
  <c r="A4" i="9"/>
  <c r="E3" i="9"/>
  <c r="E22" i="9" s="1"/>
  <c r="A3" i="9"/>
  <c r="E2" i="9"/>
  <c r="A2" i="9"/>
  <c r="E21" i="8"/>
  <c r="A21" i="8"/>
  <c r="E20" i="8"/>
  <c r="A20" i="8"/>
  <c r="E19" i="8"/>
  <c r="A19" i="8"/>
  <c r="E18" i="8"/>
  <c r="A18" i="8"/>
  <c r="E17" i="8"/>
  <c r="A17" i="8"/>
  <c r="E16" i="8"/>
  <c r="A16" i="8"/>
  <c r="E15" i="8"/>
  <c r="A15" i="8"/>
  <c r="E14" i="8"/>
  <c r="A14" i="8"/>
  <c r="E13" i="8"/>
  <c r="A13" i="8"/>
  <c r="E12" i="8"/>
  <c r="A12" i="8"/>
  <c r="E11" i="8"/>
  <c r="A11" i="8"/>
  <c r="E10" i="8"/>
  <c r="A10" i="8"/>
  <c r="E9" i="8"/>
  <c r="A9" i="8"/>
  <c r="E8" i="8"/>
  <c r="A8" i="8"/>
  <c r="E7" i="8"/>
  <c r="A7" i="8"/>
  <c r="E6" i="8"/>
  <c r="A6" i="8"/>
  <c r="E5" i="8"/>
  <c r="A5" i="8"/>
  <c r="E4" i="8"/>
  <c r="E22" i="8" s="1"/>
  <c r="A4" i="8"/>
  <c r="E3" i="8"/>
  <c r="A3" i="8"/>
  <c r="E2" i="8"/>
  <c r="A2" i="8"/>
  <c r="E21" i="7"/>
  <c r="A21" i="7"/>
  <c r="E20" i="7"/>
  <c r="A20" i="7"/>
  <c r="E19" i="7"/>
  <c r="A19" i="7"/>
  <c r="E18" i="7"/>
  <c r="A18" i="7"/>
  <c r="E17" i="7"/>
  <c r="A17" i="7"/>
  <c r="E16" i="7"/>
  <c r="A16" i="7"/>
  <c r="E15" i="7"/>
  <c r="A15" i="7"/>
  <c r="E14" i="7"/>
  <c r="A14" i="7"/>
  <c r="E13" i="7"/>
  <c r="A13" i="7"/>
  <c r="E12" i="7"/>
  <c r="A12" i="7"/>
  <c r="E11" i="7"/>
  <c r="A11" i="7"/>
  <c r="E10" i="7"/>
  <c r="A10" i="7"/>
  <c r="E9" i="7"/>
  <c r="A9" i="7"/>
  <c r="E8" i="7"/>
  <c r="A8" i="7"/>
  <c r="E7" i="7"/>
  <c r="A7" i="7"/>
  <c r="E6" i="7"/>
  <c r="A6" i="7"/>
  <c r="E5" i="7"/>
  <c r="A5" i="7"/>
  <c r="E4" i="7"/>
  <c r="A4" i="7"/>
  <c r="E3" i="7"/>
  <c r="A3" i="7"/>
  <c r="E2" i="7"/>
  <c r="E22" i="7" s="1"/>
  <c r="A2" i="7"/>
  <c r="E21" i="6"/>
  <c r="A21" i="6"/>
  <c r="E20" i="6"/>
  <c r="A20" i="6"/>
  <c r="E19" i="6"/>
  <c r="A19" i="6"/>
  <c r="E18" i="6"/>
  <c r="A18" i="6"/>
  <c r="E17" i="6"/>
  <c r="A17" i="6"/>
  <c r="E16" i="6"/>
  <c r="A16" i="6"/>
  <c r="E15" i="6"/>
  <c r="A15" i="6"/>
  <c r="E14" i="6"/>
  <c r="A14" i="6"/>
  <c r="E13" i="6"/>
  <c r="A13" i="6"/>
  <c r="E12" i="6"/>
  <c r="A12" i="6"/>
  <c r="E11" i="6"/>
  <c r="A11" i="6"/>
  <c r="E10" i="6"/>
  <c r="A10" i="6"/>
  <c r="E9" i="6"/>
  <c r="A9" i="6"/>
  <c r="E8" i="6"/>
  <c r="A8" i="6"/>
  <c r="E7" i="6"/>
  <c r="A7" i="6"/>
  <c r="E6" i="6"/>
  <c r="A6" i="6"/>
  <c r="E5" i="6"/>
  <c r="A5" i="6"/>
  <c r="E4" i="6"/>
  <c r="A4" i="6"/>
  <c r="E3" i="6"/>
  <c r="E22" i="6" s="1"/>
  <c r="A3" i="6"/>
  <c r="E2" i="6"/>
  <c r="A2" i="6"/>
  <c r="E21" i="5"/>
  <c r="A21" i="5"/>
  <c r="E20" i="5"/>
  <c r="A20" i="5"/>
  <c r="E19" i="5"/>
  <c r="A19" i="5"/>
  <c r="E18" i="5"/>
  <c r="A18" i="5"/>
  <c r="E17" i="5"/>
  <c r="A17" i="5"/>
  <c r="E16" i="5"/>
  <c r="A16" i="5"/>
  <c r="E15" i="5"/>
  <c r="A15" i="5"/>
  <c r="E14" i="5"/>
  <c r="A14" i="5"/>
  <c r="E13" i="5"/>
  <c r="A13" i="5"/>
  <c r="E12" i="5"/>
  <c r="A12" i="5"/>
  <c r="E11" i="5"/>
  <c r="A11" i="5"/>
  <c r="E10" i="5"/>
  <c r="A10" i="5"/>
  <c r="E9" i="5"/>
  <c r="A9" i="5"/>
  <c r="E8" i="5"/>
  <c r="A8" i="5"/>
  <c r="E7" i="5"/>
  <c r="A7" i="5"/>
  <c r="E6" i="5"/>
  <c r="A6" i="5"/>
  <c r="E5" i="5"/>
  <c r="A5" i="5"/>
  <c r="E4" i="5"/>
  <c r="A4" i="5"/>
  <c r="E3" i="5"/>
  <c r="A3" i="5"/>
  <c r="E2" i="5"/>
  <c r="E22" i="5" s="1"/>
  <c r="A2" i="5"/>
  <c r="E22" i="4"/>
  <c r="E21" i="4"/>
  <c r="A21" i="4"/>
  <c r="E20" i="4"/>
  <c r="A20" i="4"/>
  <c r="E19" i="4"/>
  <c r="A19" i="4"/>
  <c r="E18" i="4"/>
  <c r="A18" i="4"/>
  <c r="E17" i="4"/>
  <c r="A17" i="4"/>
  <c r="E16" i="4"/>
  <c r="A16" i="4"/>
  <c r="E15" i="4"/>
  <c r="A15" i="4"/>
  <c r="E14" i="4"/>
  <c r="A14" i="4"/>
  <c r="E13" i="4"/>
  <c r="A13" i="4"/>
  <c r="E12" i="4"/>
  <c r="A12" i="4"/>
  <c r="E11" i="4"/>
  <c r="A11" i="4"/>
  <c r="E10" i="4"/>
  <c r="A10" i="4"/>
  <c r="E9" i="4"/>
  <c r="A9" i="4"/>
  <c r="E8" i="4"/>
  <c r="A8" i="4"/>
  <c r="E7" i="4"/>
  <c r="A7" i="4"/>
  <c r="E6" i="4"/>
  <c r="A6" i="4"/>
  <c r="E5" i="4"/>
  <c r="A5" i="4"/>
  <c r="E4" i="4"/>
  <c r="A4" i="4"/>
  <c r="E3" i="4"/>
  <c r="A3" i="4"/>
  <c r="E2" i="4"/>
  <c r="A2" i="4"/>
  <c r="E24" i="3"/>
  <c r="E21" i="3"/>
  <c r="A21" i="3"/>
  <c r="E20" i="3"/>
  <c r="A20" i="3"/>
  <c r="E19" i="3"/>
  <c r="A19" i="3"/>
  <c r="E18" i="3"/>
  <c r="A18" i="3"/>
  <c r="E17" i="3"/>
  <c r="A17" i="3"/>
  <c r="E16" i="3"/>
  <c r="A16" i="3"/>
  <c r="E15" i="3"/>
  <c r="A15" i="3"/>
  <c r="E14" i="3"/>
  <c r="A14" i="3"/>
  <c r="E13" i="3"/>
  <c r="A13" i="3"/>
  <c r="E12" i="3"/>
  <c r="A12" i="3"/>
  <c r="E11" i="3"/>
  <c r="A11" i="3"/>
  <c r="E10" i="3"/>
  <c r="A10" i="3"/>
  <c r="E9" i="3"/>
  <c r="A9" i="3"/>
  <c r="E8" i="3"/>
  <c r="A8" i="3"/>
  <c r="E7" i="3"/>
  <c r="A7" i="3"/>
  <c r="E6" i="3"/>
  <c r="A6" i="3"/>
  <c r="E5" i="3"/>
  <c r="A5" i="3"/>
  <c r="E4" i="3"/>
  <c r="E22" i="3" s="1"/>
  <c r="A4" i="3"/>
  <c r="E3" i="3"/>
  <c r="A3" i="3"/>
  <c r="E2" i="3"/>
  <c r="A2" i="3"/>
  <c r="E21" i="2"/>
  <c r="A21" i="2"/>
  <c r="E20" i="2"/>
  <c r="A20" i="2"/>
  <c r="E19" i="2"/>
  <c r="A19" i="2"/>
  <c r="E18" i="2"/>
  <c r="A18" i="2"/>
  <c r="E17" i="2"/>
  <c r="A17" i="2"/>
  <c r="E16" i="2"/>
  <c r="A16" i="2"/>
  <c r="E15" i="2"/>
  <c r="A15" i="2"/>
  <c r="E14" i="2"/>
  <c r="A14" i="2"/>
  <c r="E13" i="2"/>
  <c r="A13" i="2"/>
  <c r="E12" i="2"/>
  <c r="A12" i="2"/>
  <c r="E11" i="2"/>
  <c r="A11" i="2"/>
  <c r="E10" i="2"/>
  <c r="A10" i="2"/>
  <c r="E9" i="2"/>
  <c r="A9" i="2"/>
  <c r="E8" i="2"/>
  <c r="A8" i="2"/>
  <c r="E7" i="2"/>
  <c r="A7" i="2"/>
  <c r="E6" i="2"/>
  <c r="A6" i="2"/>
  <c r="E5" i="2"/>
  <c r="A5" i="2"/>
  <c r="E4" i="2"/>
  <c r="A4" i="2"/>
  <c r="E3" i="2"/>
  <c r="E22" i="2" s="1"/>
  <c r="A3" i="2"/>
  <c r="E2" i="2"/>
  <c r="A2" i="2"/>
  <c r="E21" i="1"/>
  <c r="A21" i="1"/>
  <c r="E20" i="1"/>
  <c r="A20" i="1"/>
  <c r="E19" i="1"/>
  <c r="A19" i="1"/>
  <c r="E18" i="1"/>
  <c r="A18" i="1"/>
  <c r="E17" i="1"/>
  <c r="A17" i="1"/>
  <c r="E16" i="1"/>
  <c r="A16" i="1"/>
  <c r="E15" i="1"/>
  <c r="A15" i="1"/>
  <c r="E14" i="1"/>
  <c r="A14" i="1"/>
  <c r="E13" i="1"/>
  <c r="A13" i="1"/>
  <c r="E12" i="1"/>
  <c r="A12" i="1"/>
  <c r="E11" i="1"/>
  <c r="A11" i="1"/>
  <c r="E10" i="1"/>
  <c r="A10" i="1"/>
  <c r="E9" i="1"/>
  <c r="A9" i="1"/>
  <c r="E8" i="1"/>
  <c r="A8" i="1"/>
  <c r="E7" i="1"/>
  <c r="A7" i="1"/>
  <c r="E6" i="1"/>
  <c r="A6" i="1"/>
  <c r="E5" i="1"/>
  <c r="A5" i="1"/>
  <c r="E4" i="1"/>
  <c r="E22" i="1" s="1"/>
  <c r="A4" i="1"/>
  <c r="E3" i="1"/>
  <c r="A3" i="1"/>
  <c r="E2" i="1"/>
  <c r="A2" i="1"/>
</calcChain>
</file>

<file path=xl/sharedStrings.xml><?xml version="1.0" encoding="utf-8"?>
<sst xmlns="http://schemas.openxmlformats.org/spreadsheetml/2006/main" count="533" uniqueCount="164">
  <si>
    <t xml:space="preserve">Sr.No. </t>
  </si>
  <si>
    <t>Activity</t>
  </si>
  <si>
    <t>Start Time</t>
  </si>
  <si>
    <t>End Time</t>
  </si>
  <si>
    <t>Total Time</t>
  </si>
  <si>
    <t xml:space="preserve">Status </t>
  </si>
  <si>
    <t>Total</t>
  </si>
  <si>
    <t>Published the Overnight Execution Reports of Bench 09.</t>
  </si>
  <si>
    <t>Completed</t>
  </si>
  <si>
    <t>Overnight Execution Analysis of Bench 09.</t>
  </si>
  <si>
    <t>Updated the Auto Flashing Status  Sheet.</t>
  </si>
  <si>
    <t>Attended the DSR Meeting.</t>
  </si>
  <si>
    <t xml:space="preserve">Supported Swapnil for Kite Launch Issue on Bench 09.
- Bench is given to Swapnil(10:50 AM)
- Restarted the system of Bench 09(11:55 AM)
- Bench is taken back from Swapnil(12:32 PM)
- Bench is given to Swapnil(02:50 PM to 04:00 PM)
- Bench is given to Swapnil(05:00 PM to 05:30 PM)
- </t>
  </si>
  <si>
    <t>In-Progress</t>
  </si>
  <si>
    <t>Closed unipro review instance for "KPIT_TC_DRT_KEY_021"</t>
  </si>
  <si>
    <t>Test Script Creation - "KPIT_TC_DRT_CAT_005"
- Created Test Script for 1312 and Checked Changed modifications by manual leads</t>
  </si>
  <si>
    <t>Test Script Creation - "KPIT_TC_DRT_SAD_1202"</t>
  </si>
  <si>
    <t>Test Script Creation - "KPIT_TC_DRT_SAD_1203"</t>
  </si>
  <si>
    <t>Rework - "KPIT_TC_DRT_CAT_004"
- Modified the Test Script as per 1312(12:32 PM to 12:52 PM)
- Restarted the Bench 09 as the Kite is not launching on the Bench.
- Executed the preconditions to enable ADB over Wifi(13:05 PM to )</t>
  </si>
  <si>
    <t>Rework - "KPIT_TC_DRT_AVG_223"</t>
  </si>
  <si>
    <t>Attended the Weekend Support Meeting.</t>
  </si>
  <si>
    <t>Taken Git Pull, before performing sanity on on Bench 09.</t>
  </si>
  <si>
    <t>Performed Sanity on Bench 09.
- Restarted the system (5:29 PM)
- Started Kite(5:31 PM)
- Performed Sanity on Bench 09(5:40 PM)</t>
  </si>
  <si>
    <t>Connected Bench 09 to Jenkins Pipeline.</t>
  </si>
  <si>
    <t>Auto-Flashing Analysis on Bench 09.</t>
  </si>
  <si>
    <t xml:space="preserve">Re-executed Failed Test Scripts on Bench 09.
- "KPIT_TC_DRT_IDS_009" : </t>
  </si>
  <si>
    <t>Test Script Creation - "KPIT_TC_DRT_CAT_005"
- Executed precondition for enabling Adb over wifi.(10:55 AM to 11:20 AM)
- Adb over Wifi is Enabled but Bench 09 is given Kite Team Member(Swapnil).
- Executed precondition for enabling Adb over wifi.(12:30 PM to 1:00 PM)</t>
  </si>
  <si>
    <t>Connected Bench 07 T Varient ICB to Bench 09, for GTC related TS of Bench 07.</t>
  </si>
  <si>
    <t>Reconnected Bench 07 T Varient ICB to Bench 07, and reconnected Bench 09 TYAW ICB to Bench 09.</t>
  </si>
  <si>
    <t>Bench 09 is given to Kite Team Member(Swapnil)
- Connected Display to system on Bench 09, and the system is given to Swapnil(11:30 AM to 12:27 PM).</t>
  </si>
  <si>
    <t>Bench 09 is given to Kite Team Member(Dhanraj)
- Connected Display to system on Bench 09, and the system is given to Swapnil(13:00 PM to 16:45 PM).</t>
  </si>
  <si>
    <t>Raised Once Seen Deflect for KPIT_TC_DRT_IDS_009 with Mohan San</t>
  </si>
  <si>
    <t>Taken git pull on Bench 09.</t>
  </si>
  <si>
    <t>Performed Sanity on Bench 09.</t>
  </si>
  <si>
    <t xml:space="preserve">Lunch </t>
  </si>
  <si>
    <t xml:space="preserve">Re-executed Failed Test Scripts on Bench 09.
- Executed "KPIT_TC_DRT_KEY_013" manually.
</t>
  </si>
  <si>
    <t>Supported Kite Team member(Dhanraj) for Kite Crash issue on Bench 09.</t>
  </si>
  <si>
    <t>Test Script Creation - "KPIT_TC_DRT_CAT_005"
- Cheked the VR_By_Text_Phrase command for output of audio.</t>
  </si>
  <si>
    <t>Flashed 3rd October build on Bench 06.</t>
  </si>
  <si>
    <t>Flashed 3rd October build on Bench 07.</t>
  </si>
  <si>
    <t>Flashed 3rd October build on Bench 09.</t>
  </si>
  <si>
    <t>Performed Sanity on Bench 06.</t>
  </si>
  <si>
    <t>Connected Bench 06 to Jenkins Pipeline.</t>
  </si>
  <si>
    <t>Performed Sanity on Bench 07.</t>
  </si>
  <si>
    <t>Connected Bench 07 to Jenkins Pipeline.</t>
  </si>
  <si>
    <t>Calibration of Bench 09.
- Calibartion of Bench 09.
- Given KT to Trainee Engineer.</t>
  </si>
  <si>
    <t>Rework "KPIT_TC_DRT_CAT_005"</t>
  </si>
  <si>
    <t>Helped Vitthal in Maker Logs Script</t>
  </si>
  <si>
    <t>Created and Executed Test Script "KPIT_TC_DRT_CAT_005"
- Created Test Script "KPIT_TC_DRT_CAT_005": 11:30 AM to 12:12 PM
- Executed Test Script "KPIT_TC_DRT_CAT_005": 12:30 PM to 13:15 PM
- Raised Review for Test Script "KPIT_TC_DRT_CAT_005": 13:15 PM to 13:30 PM</t>
  </si>
  <si>
    <t>Replaced the Bench 09 Debug Board.</t>
  </si>
  <si>
    <t>Share logs for USB Disconnection after ACC Cycle</t>
  </si>
  <si>
    <t>Executed the failed Overnight Failed Test Script:
"KPIT_TC_DRT_CAT_005": Re-executed the Test Script in daytime</t>
  </si>
  <si>
    <t xml:space="preserve">Updated the status of test cases assigned to me on KAP. </t>
  </si>
  <si>
    <t>Checked sample Test Packs, Test Scripts, Function Blocks, Resources in new "DDev_750_T90X_Repo"</t>
  </si>
  <si>
    <t>Helped Yukta to set roboticarmsetting.xml</t>
  </si>
  <si>
    <t>Taken the backup required for kite installation on Bench 11.</t>
  </si>
  <si>
    <t>Installed Kite build 200.16 on Bench 11.</t>
  </si>
  <si>
    <t>Performed Basic Sanity on Bench 11.</t>
  </si>
  <si>
    <t>Given KT on Bench Hardwares(Connected peripherals) to new team members.</t>
  </si>
  <si>
    <t>Take new clone on Bench09 of the DDev_750_T90X_Repo.</t>
  </si>
  <si>
    <t>Added Test Packs of Bench09 to new "DDev_750_T90X_Repo" Test Cycle</t>
  </si>
  <si>
    <t>Updated Config files as per new "DDev_750_T90X_Repo" Test Cycle on Bench09.</t>
  </si>
  <si>
    <t>Checked and find the working Chrome driver for latest chrome version.</t>
  </si>
  <si>
    <t>Helped other Bench user to set chrome driver on the Bench.</t>
  </si>
  <si>
    <t>Taken git pull/push and checked missing resource popup on Bench 09.</t>
  </si>
  <si>
    <t>Feasibility of new test script development "KPIT_TC_DRT_BTA_032"</t>
  </si>
  <si>
    <t>Given KT on ADB overview(ADB commands used) to new team members.</t>
  </si>
  <si>
    <t>Done feasibility of test scripts for the test script movement activity.</t>
  </si>
  <si>
    <t>Flashed 30AA Variant on the Bench05 and Bench08.</t>
  </si>
  <si>
    <t>Taken git pull/push on Bench 09.</t>
  </si>
  <si>
    <t>Replaced Config files for the "DDev_705_Repo" on Bench09.</t>
  </si>
  <si>
    <t>Checked missing resource popup on Bench 09.</t>
  </si>
  <si>
    <t>Flashed Base Build on manual T Variant Bench.</t>
  </si>
  <si>
    <t>Flashed Last build on manual T Variant Bench.</t>
  </si>
  <si>
    <t>T90X Variant Flashing on Bench 01 and Bench 03.</t>
  </si>
  <si>
    <t>Flashed Base Build on Bench 09.</t>
  </si>
  <si>
    <t>Flashed Last build on Bench 09.</t>
  </si>
  <si>
    <t>PW-241</t>
  </si>
  <si>
    <t>Published the Overnight Execution Reports of Bench 06.</t>
  </si>
  <si>
    <t>Auto-Flashing Analysis on Bench 06.</t>
  </si>
  <si>
    <t>PW-235</t>
  </si>
  <si>
    <t>Overnight Execution Analysis of Bench 06.</t>
  </si>
  <si>
    <t>Attended the DSR 2nd Meeting.</t>
  </si>
  <si>
    <t>Flashed Base Build on Bench 06</t>
  </si>
  <si>
    <t>Flashed Last build on Bench 06</t>
  </si>
  <si>
    <t>Taken git pull/push on Bench 06.</t>
  </si>
  <si>
    <t>Taken git pull/push on Bench 07.</t>
  </si>
  <si>
    <t>Bench 06 failure fixation.</t>
  </si>
  <si>
    <t>Bench 07 failure fixation.</t>
  </si>
  <si>
    <t>Bench 09 failure fixation.
- TS Movement</t>
  </si>
  <si>
    <t>Updated the Test Script Movement Sheet</t>
  </si>
  <si>
    <t>Updated WiFi Issues DRT Automation Sheet</t>
  </si>
  <si>
    <t>Performed Calibration Activity on Bench 09.</t>
  </si>
  <si>
    <t>Checked the below scripts using CAN Tool A1 on Bench 09.
- "KPIT_TC_DRT_IDS_002"
- "KPIT_TC_DRT_IDS_011"</t>
  </si>
  <si>
    <t>Connected Sound Blaster and Impedance Convertor to Bench 07.</t>
  </si>
  <si>
    <t>Flashed T90X Variant on the Bench01 and Bench03.</t>
  </si>
  <si>
    <t>Manual Bench</t>
  </si>
  <si>
    <t>Automation Bench</t>
  </si>
  <si>
    <t>CAN Tool A1</t>
  </si>
  <si>
    <t>Vector</t>
  </si>
  <si>
    <t>Vehicle Simulator</t>
  </si>
  <si>
    <t>Meter Simulator</t>
  </si>
  <si>
    <t>Given KT to new team members on Function Block Creation and Resourecs</t>
  </si>
  <si>
    <t>Checked the CAN frames CAN Tool A1 on Manual Bench for follwowing scripts
- KPIT_TC_DRT_002
- KPIT_TC_DRT_011</t>
  </si>
  <si>
    <t>Flashed 30AA Variant on the Bench01 and Bench03.</t>
  </si>
  <si>
    <t>Supported in creating config files for Bench 01 and Bench 03</t>
  </si>
  <si>
    <t>Shared the python file to eject usb drive.</t>
  </si>
  <si>
    <t>Checked and resolved  the appium issue on phone for Bench 11.</t>
  </si>
  <si>
    <t>Created Skelaton for new test script
- KPIT_TC_DRT_BTA_032</t>
  </si>
  <si>
    <t>Flashed yesterday's build on bench 03</t>
  </si>
  <si>
    <t>Executed the failed Testscripts in daytime 
- KPIT_TC_DRT_KEY_013</t>
  </si>
  <si>
    <t>Created and executed new test script
- KPIT_TC_DRT_BTA_032</t>
  </si>
  <si>
    <t>Attached reports on KAP
- KPIT_TC_DRT_BTA_032</t>
  </si>
  <si>
    <t>Performed calibration activity of Bench 09.</t>
  </si>
  <si>
    <t>Feasibility of Test Scripts related to Meter and Vehicle Simulator through Vector CAN.</t>
  </si>
  <si>
    <t>Fixed Audio setup on Bench 07.</t>
  </si>
  <si>
    <t>Breakfast</t>
  </si>
  <si>
    <t>Given data to Sahil for IP Reservation of Bench 09.</t>
  </si>
  <si>
    <t>Break</t>
  </si>
  <si>
    <t>IP Reservation on Bench 09.</t>
  </si>
  <si>
    <t>Updated Wait upto "500" in "Go to Homescreen" FB</t>
  </si>
  <si>
    <t>Executed the Failed Pre/Post-Condition for Daytime execution</t>
  </si>
  <si>
    <t>Lunch</t>
  </si>
  <si>
    <t>Feasibility of the Vehicle simulator related testscript through vector.</t>
  </si>
  <si>
    <t>No. of Skeleton Created</t>
  </si>
  <si>
    <t>No. Of TC Executed</t>
  </si>
  <si>
    <t>No. of TCs Sent for review</t>
  </si>
  <si>
    <t>Executed on which Bench</t>
  </si>
  <si>
    <t>Added in Pack or not</t>
  </si>
  <si>
    <t>No. of TCs for Rework</t>
  </si>
  <si>
    <t>49_Bench01_30AA_T90X_KA_USB_Audio_A13_2_2</t>
  </si>
  <si>
    <t>NA</t>
  </si>
  <si>
    <t>08_Bench01_30AA_T90X_KA_WLC_A13_2_2</t>
  </si>
  <si>
    <t>44_Bench01_30AA_T90X_KA_SSR_DryRun2.3</t>
  </si>
  <si>
    <t>25_Bench01_30AA_T90X_KA_DAB_DryRun2.4</t>
  </si>
  <si>
    <t>56_Bench01_30AA_T90X_KA_AMFM_2.4Dry_Run</t>
  </si>
  <si>
    <t>61_Bench01_T90X_KA_AVC_DryRun2.4</t>
  </si>
  <si>
    <t>Done</t>
  </si>
  <si>
    <t>1_Bench01_30AA_T90X_KA_Compass_A13_DryRun_2_1</t>
  </si>
  <si>
    <t>Working(3:34:07 hrs)[without AF]</t>
  </si>
  <si>
    <t>22_Bench01_30AA_T90X_KA_AMFM_A13_DryRun_2_1</t>
  </si>
  <si>
    <t>10 00 00 03 00 00 00 00</t>
  </si>
  <si>
    <t>TYAW</t>
  </si>
  <si>
    <t>24_Bench01_30AA_T90X_KA_WLC_A13_DryRun_2_1</t>
  </si>
  <si>
    <t>F0 00 00 03 00 00 00 00</t>
  </si>
  <si>
    <t>KITE Version : 200.11
Total: 27
Pass: 25
Fail: 02
Stabilized TS: 25</t>
  </si>
  <si>
    <t>25_Bench01_30AA_T90X_KA_Vehicle_Setting_A13 _DryRun_2_1</t>
  </si>
  <si>
    <t>27_Bench01_30AA_T90X_KA_Meter_A13_DryRun_2_1</t>
  </si>
  <si>
    <t>ICB Issue(1 TS):
	1. CAN signal not reflected(1)</t>
  </si>
  <si>
    <t>a</t>
  </si>
  <si>
    <t>b</t>
  </si>
  <si>
    <t>c</t>
  </si>
  <si>
    <t>d</t>
  </si>
  <si>
    <t>e</t>
  </si>
  <si>
    <t>f</t>
  </si>
  <si>
    <t>Test script</t>
  </si>
  <si>
    <t xml:space="preserve">Failure reason </t>
  </si>
  <si>
    <t>Remark</t>
  </si>
  <si>
    <t>KPIT_TC_DRT_KEY_013</t>
  </si>
  <si>
    <t>USB Device Disconnected after ACC cycle</t>
  </si>
  <si>
    <t>Executed in daytime, Passed.</t>
  </si>
  <si>
    <t>Connected Bench 09 to PMT Jenkins Pipeline.</t>
  </si>
  <si>
    <t>Re-executed the failed testdcript in daytime.</t>
  </si>
  <si>
    <t>Prepared the sheet format for the vehicle simulator related can signals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</si>
</sst>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7"/>
      <color theme="1"/>
      <name val="Work Sans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wrapText="1"/>
    </xf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3" borderId="9" xfId="0" applyFill="1" applyBorder="1"/>
    <xf numFmtId="0" fontId="0" fillId="3" borderId="10" xfId="0" applyFill="1" applyBorder="1" applyAlignment="1">
      <alignment wrapText="1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164" fontId="0" fillId="3" borderId="14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wrapText="1"/>
    </xf>
    <xf numFmtId="164" fontId="1" fillId="3" borderId="15" xfId="0" applyNumberFormat="1" applyFont="1" applyFill="1" applyBorder="1" applyAlignment="1">
      <alignment wrapText="1"/>
    </xf>
    <xf numFmtId="164" fontId="1" fillId="3" borderId="4" xfId="0" applyNumberFormat="1" applyFont="1" applyFill="1" applyBorder="1"/>
    <xf numFmtId="0" fontId="0" fillId="3" borderId="2" xfId="0" applyFill="1" applyBorder="1"/>
    <xf numFmtId="0" fontId="0" fillId="3" borderId="7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20" fontId="0" fillId="0" borderId="0" xfId="0" applyNumberFormat="1"/>
    <xf numFmtId="18" fontId="0" fillId="0" borderId="0" xfId="0" applyNumberFormat="1"/>
    <xf numFmtId="0" fontId="0" fillId="3" borderId="16" xfId="0" applyFill="1" applyBorder="1" applyAlignment="1">
      <alignment wrapText="1"/>
    </xf>
    <xf numFmtId="164" fontId="0" fillId="3" borderId="2" xfId="0" applyNumberFormat="1" applyFill="1" applyBorder="1"/>
    <xf numFmtId="164" fontId="0" fillId="3" borderId="4" xfId="0" applyNumberFormat="1" applyFill="1" applyBorder="1"/>
    <xf numFmtId="0" fontId="0" fillId="3" borderId="4" xfId="0" applyFill="1" applyBorder="1"/>
    <xf numFmtId="0" fontId="0" fillId="3" borderId="2" xfId="0" applyFill="1" applyBorder="1" applyAlignment="1">
      <alignment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21" fontId="0" fillId="0" borderId="0" xfId="0" applyNumberFormat="1"/>
    <xf numFmtId="46" fontId="0" fillId="0" borderId="0" xfId="0" applyNumberFormat="1"/>
    <xf numFmtId="0" fontId="0" fillId="0" borderId="0" xfId="0" applyAlignment="1">
      <alignment vertical="center" wrapText="1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/>
    <xf numFmtId="164" fontId="0" fillId="3" borderId="25" xfId="0" applyNumberFormat="1" applyFill="1" applyBorder="1"/>
    <xf numFmtId="164" fontId="0" fillId="3" borderId="9" xfId="0" applyNumberFormat="1" applyFill="1" applyBorder="1"/>
    <xf numFmtId="0" fontId="0" fillId="3" borderId="6" xfId="0" applyFill="1" applyBorder="1" applyAlignment="1">
      <alignment horizontal="center" vertical="center"/>
    </xf>
    <xf numFmtId="164" fontId="0" fillId="3" borderId="26" xfId="0" applyNumberFormat="1" applyFill="1" applyBorder="1"/>
    <xf numFmtId="0" fontId="0" fillId="3" borderId="26" xfId="0" applyFill="1" applyBorder="1"/>
    <xf numFmtId="0" fontId="0" fillId="3" borderId="27" xfId="0" applyFill="1" applyBorder="1" applyAlignment="1">
      <alignment horizontal="center" vertical="center"/>
    </xf>
    <xf numFmtId="0" fontId="0" fillId="3" borderId="15" xfId="0" applyFill="1" applyBorder="1"/>
    <xf numFmtId="164" fontId="0" fillId="3" borderId="24" xfId="0" applyNumberFormat="1" applyFill="1" applyBorder="1"/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30" xfId="0" applyFill="1" applyBorder="1" applyAlignment="1">
      <alignment wrapText="1"/>
    </xf>
    <xf numFmtId="164" fontId="0" fillId="3" borderId="30" xfId="0" applyNumberFormat="1" applyFill="1" applyBorder="1"/>
    <xf numFmtId="0" fontId="0" fillId="3" borderId="23" xfId="0" applyFill="1" applyBorder="1" applyAlignment="1">
      <alignment wrapText="1"/>
    </xf>
    <xf numFmtId="20" fontId="4" fillId="0" borderId="0" xfId="0" applyNumberFormat="1" applyFont="1"/>
    <xf numFmtId="0" fontId="1" fillId="0" borderId="0" xfId="0" applyFont="1"/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5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5" fillId="0" borderId="11" xfId="0" applyFont="1" applyBorder="1"/>
    <xf numFmtId="0" fontId="0" fillId="0" borderId="3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5" fillId="0" borderId="20" xfId="0" applyFont="1" applyBorder="1"/>
    <xf numFmtId="0" fontId="6" fillId="0" borderId="21" xfId="0" applyFont="1" applyBorder="1"/>
    <xf numFmtId="0" fontId="0" fillId="0" borderId="22" xfId="0" applyBorder="1"/>
    <xf numFmtId="0" fontId="7" fillId="3" borderId="1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F10" sqref="F10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6"/>
      <c r="C2" s="7"/>
      <c r="D2" s="8"/>
      <c r="E2" s="8">
        <f t="shared" ref="E2:E21" si="1">D2-C2</f>
        <v>0</v>
      </c>
      <c r="F2" s="9"/>
    </row>
    <row r="3" spans="1:6" x14ac:dyDescent="0.3">
      <c r="A3" s="5">
        <f t="shared" si="0"/>
        <v>2</v>
      </c>
      <c r="B3" s="10"/>
      <c r="C3" s="11"/>
      <c r="D3" s="8"/>
      <c r="E3" s="8">
        <f t="shared" si="1"/>
        <v>0</v>
      </c>
      <c r="F3" s="9"/>
    </row>
    <row r="4" spans="1:6" x14ac:dyDescent="0.3">
      <c r="A4" s="5">
        <f t="shared" si="0"/>
        <v>3</v>
      </c>
      <c r="B4" s="10"/>
      <c r="C4" s="11"/>
      <c r="D4" s="8"/>
      <c r="E4" s="8">
        <f t="shared" si="1"/>
        <v>0</v>
      </c>
      <c r="F4" s="9"/>
    </row>
    <row r="5" spans="1:6" x14ac:dyDescent="0.3">
      <c r="A5" s="5">
        <f t="shared" si="0"/>
        <v>4</v>
      </c>
      <c r="B5" s="10"/>
      <c r="C5" s="11"/>
      <c r="D5" s="8"/>
      <c r="E5" s="8">
        <f t="shared" si="1"/>
        <v>0</v>
      </c>
      <c r="F5" s="9"/>
    </row>
    <row r="6" spans="1:6" x14ac:dyDescent="0.3">
      <c r="A6" s="5">
        <f t="shared" si="0"/>
        <v>5</v>
      </c>
      <c r="B6" s="10"/>
      <c r="C6" s="11"/>
      <c r="D6" s="8"/>
      <c r="E6" s="8">
        <f t="shared" si="1"/>
        <v>0</v>
      </c>
      <c r="F6" s="9"/>
    </row>
    <row r="7" spans="1:6" x14ac:dyDescent="0.3">
      <c r="A7" s="5">
        <f t="shared" si="0"/>
        <v>6</v>
      </c>
      <c r="B7" s="10"/>
      <c r="C7" s="11"/>
      <c r="D7" s="8"/>
      <c r="E7" s="8">
        <f t="shared" si="1"/>
        <v>0</v>
      </c>
      <c r="F7" s="9"/>
    </row>
    <row r="8" spans="1:6" x14ac:dyDescent="0.3">
      <c r="A8" s="5">
        <f t="shared" si="0"/>
        <v>7</v>
      </c>
      <c r="B8" s="10"/>
      <c r="C8" s="11"/>
      <c r="D8" s="8"/>
      <c r="E8" s="11">
        <f t="shared" si="1"/>
        <v>0</v>
      </c>
      <c r="F8" s="9"/>
    </row>
    <row r="9" spans="1:6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6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/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/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/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/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0</v>
      </c>
      <c r="F22" s="19"/>
    </row>
  </sheetData>
  <conditionalFormatting sqref="F2:F21">
    <cfRule type="expression" dxfId="52" priority="1">
      <formula>SEARCH("In-Progress", F2)</formula>
    </cfRule>
    <cfRule type="expression" dxfId="51" priority="2">
      <formula>SEARCH("Incomplete", F2)</formula>
    </cfRule>
    <cfRule type="expression" dxfId="50" priority="3">
      <formula>SEARCH("Completed", F2)</formula>
    </cfRule>
  </conditionalFormatting>
  <dataValidations count="1">
    <dataValidation type="list" allowBlank="1" showInputMessage="1" showErrorMessage="1" sqref="F2:F21" xr:uid="{00000000-0002-0000-0000-000000000000}">
      <formula1>"Completed, Incomplete, In-Progress"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selection activeCell="B18" sqref="B18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0.39583333333333331</v>
      </c>
      <c r="D2" s="8">
        <v>0.40972222222222221</v>
      </c>
      <c r="E2" s="8">
        <f t="shared" ref="E2:E21" si="1">D2-C2</f>
        <v>1.3888888888888895E-2</v>
      </c>
      <c r="F2" s="9" t="s">
        <v>8</v>
      </c>
    </row>
    <row r="3" spans="1:6" x14ac:dyDescent="0.3">
      <c r="A3" s="5">
        <f t="shared" si="0"/>
        <v>2</v>
      </c>
      <c r="B3" s="21" t="s">
        <v>9</v>
      </c>
      <c r="C3" s="11">
        <v>0.40972222222222221</v>
      </c>
      <c r="D3" s="8">
        <v>0.41319444444444442</v>
      </c>
      <c r="E3" s="8">
        <f t="shared" si="1"/>
        <v>3.4722222222222099E-3</v>
      </c>
      <c r="F3" s="9" t="s">
        <v>8</v>
      </c>
    </row>
    <row r="4" spans="1:6" x14ac:dyDescent="0.3">
      <c r="A4" s="5">
        <f t="shared" si="0"/>
        <v>3</v>
      </c>
      <c r="B4" s="21" t="s">
        <v>10</v>
      </c>
      <c r="C4" s="11">
        <v>0.41319444444444442</v>
      </c>
      <c r="D4" s="8">
        <v>0.41666666666666669</v>
      </c>
      <c r="E4" s="8">
        <f t="shared" si="1"/>
        <v>3.4722222222222654E-3</v>
      </c>
      <c r="F4" s="9" t="s">
        <v>8</v>
      </c>
    </row>
    <row r="5" spans="1:6" x14ac:dyDescent="0.3">
      <c r="A5" s="5">
        <f t="shared" si="0"/>
        <v>4</v>
      </c>
      <c r="B5" s="21" t="s">
        <v>11</v>
      </c>
      <c r="C5" s="11">
        <v>0.4201388888888889</v>
      </c>
      <c r="D5" s="8">
        <v>0.45833333333333331</v>
      </c>
      <c r="E5" s="8">
        <f t="shared" si="1"/>
        <v>3.819444444444442E-2</v>
      </c>
      <c r="F5" s="9" t="s">
        <v>8</v>
      </c>
    </row>
    <row r="6" spans="1:6" ht="100.8" customHeight="1" x14ac:dyDescent="0.3">
      <c r="A6" s="5">
        <f t="shared" si="0"/>
        <v>5</v>
      </c>
      <c r="B6" s="10" t="s">
        <v>12</v>
      </c>
      <c r="C6" s="11">
        <v>0.4513888888888889</v>
      </c>
      <c r="D6" s="8">
        <v>0.52222222222222225</v>
      </c>
      <c r="E6" s="8">
        <f t="shared" si="1"/>
        <v>7.0833333333333359E-2</v>
      </c>
      <c r="F6" s="9" t="s">
        <v>13</v>
      </c>
    </row>
    <row r="7" spans="1:6" x14ac:dyDescent="0.3">
      <c r="A7" s="5">
        <f t="shared" si="0"/>
        <v>6</v>
      </c>
      <c r="B7" s="10" t="s">
        <v>14</v>
      </c>
      <c r="C7" s="11">
        <v>0.45833333333333331</v>
      </c>
      <c r="D7" s="8">
        <v>0.46527777777777779</v>
      </c>
      <c r="E7" s="8">
        <f t="shared" si="1"/>
        <v>6.9444444444444753E-3</v>
      </c>
      <c r="F7" s="9" t="s">
        <v>8</v>
      </c>
    </row>
    <row r="8" spans="1:6" x14ac:dyDescent="0.3">
      <c r="A8" s="5">
        <f t="shared" si="0"/>
        <v>7</v>
      </c>
      <c r="B8" s="24"/>
      <c r="C8" s="11"/>
      <c r="D8" s="8"/>
      <c r="E8" s="11">
        <f t="shared" si="1"/>
        <v>0</v>
      </c>
      <c r="F8" s="9"/>
    </row>
    <row r="9" spans="1:6" ht="43.2" customHeight="1" x14ac:dyDescent="0.3">
      <c r="A9" s="5">
        <f t="shared" si="0"/>
        <v>8</v>
      </c>
      <c r="B9" s="24" t="s">
        <v>15</v>
      </c>
      <c r="C9" s="11"/>
      <c r="D9" s="8"/>
      <c r="E9" s="8">
        <f t="shared" si="1"/>
        <v>0</v>
      </c>
      <c r="F9" s="9" t="s">
        <v>13</v>
      </c>
    </row>
    <row r="10" spans="1:6" x14ac:dyDescent="0.3">
      <c r="A10" s="5">
        <f t="shared" si="0"/>
        <v>9</v>
      </c>
      <c r="B10" s="10" t="s">
        <v>16</v>
      </c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 t="s">
        <v>17</v>
      </c>
      <c r="C11" s="11"/>
      <c r="D11" s="12"/>
      <c r="E11" s="8">
        <f t="shared" si="1"/>
        <v>0</v>
      </c>
      <c r="F11" s="9"/>
    </row>
    <row r="12" spans="1:6" ht="86.4" customHeight="1" x14ac:dyDescent="0.3">
      <c r="A12" s="5">
        <f t="shared" si="0"/>
        <v>11</v>
      </c>
      <c r="B12" s="10" t="s">
        <v>18</v>
      </c>
      <c r="C12" s="11">
        <v>0.52222222222222225</v>
      </c>
      <c r="D12" s="12">
        <v>0.58333333333333337</v>
      </c>
      <c r="E12" s="8">
        <f t="shared" si="1"/>
        <v>6.1111111111111116E-2</v>
      </c>
      <c r="F12" s="9" t="s">
        <v>8</v>
      </c>
    </row>
    <row r="13" spans="1:6" x14ac:dyDescent="0.3">
      <c r="A13" s="5">
        <f t="shared" si="0"/>
        <v>12</v>
      </c>
      <c r="B13" s="10" t="s">
        <v>19</v>
      </c>
      <c r="C13" s="11">
        <v>0.58333333333333337</v>
      </c>
      <c r="D13" s="12">
        <v>0.60833333333333328</v>
      </c>
      <c r="E13" s="8">
        <f t="shared" si="1"/>
        <v>2.4999999999999911E-2</v>
      </c>
      <c r="F13" s="9" t="s">
        <v>8</v>
      </c>
    </row>
    <row r="14" spans="1:6" x14ac:dyDescent="0.3">
      <c r="A14" s="5">
        <f t="shared" si="0"/>
        <v>13</v>
      </c>
      <c r="B14" s="10" t="s">
        <v>20</v>
      </c>
      <c r="C14" s="11">
        <v>0.64583333333333337</v>
      </c>
      <c r="D14" s="12">
        <v>0.6875</v>
      </c>
      <c r="E14" s="8">
        <f t="shared" si="1"/>
        <v>4.166666666666663E-2</v>
      </c>
      <c r="F14" s="9" t="s">
        <v>8</v>
      </c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23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/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21" t="s">
        <v>21</v>
      </c>
      <c r="C19" s="11"/>
      <c r="D19" s="12"/>
      <c r="E19" s="8">
        <f t="shared" si="1"/>
        <v>0</v>
      </c>
      <c r="F19" s="9" t="s">
        <v>8</v>
      </c>
    </row>
    <row r="20" spans="1:6" ht="57.6" customHeight="1" x14ac:dyDescent="0.3">
      <c r="A20" s="5">
        <f t="shared" si="0"/>
        <v>19</v>
      </c>
      <c r="B20" s="21" t="s">
        <v>22</v>
      </c>
      <c r="C20" s="11"/>
      <c r="D20" s="12"/>
      <c r="E20" s="8">
        <f t="shared" si="1"/>
        <v>0</v>
      </c>
      <c r="F20" s="9" t="s">
        <v>8</v>
      </c>
    </row>
    <row r="21" spans="1:6" ht="15" customHeight="1" thickBot="1" x14ac:dyDescent="0.35">
      <c r="A21" s="5">
        <f t="shared" si="0"/>
        <v>20</v>
      </c>
      <c r="B21" s="22" t="s">
        <v>23</v>
      </c>
      <c r="C21" s="13"/>
      <c r="D21" s="14"/>
      <c r="E21" s="8">
        <f t="shared" si="1"/>
        <v>0</v>
      </c>
      <c r="F21" s="9" t="s">
        <v>8</v>
      </c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0.26458333333333328</v>
      </c>
      <c r="F22" s="19"/>
    </row>
    <row r="31" spans="1:6" x14ac:dyDescent="0.3">
      <c r="D31" s="25"/>
    </row>
    <row r="32" spans="1:6" x14ac:dyDescent="0.3">
      <c r="D32" s="25"/>
    </row>
    <row r="33" spans="3:4" x14ac:dyDescent="0.3">
      <c r="D33" s="25"/>
    </row>
    <row r="34" spans="3:4" x14ac:dyDescent="0.3">
      <c r="C34" s="25"/>
    </row>
    <row r="35" spans="3:4" x14ac:dyDescent="0.3">
      <c r="C35" s="25"/>
    </row>
    <row r="36" spans="3:4" x14ac:dyDescent="0.3">
      <c r="C36" s="25"/>
    </row>
  </sheetData>
  <conditionalFormatting sqref="F2:F21">
    <cfRule type="expression" dxfId="49" priority="1">
      <formula>SEARCH("In-Progress", F2)</formula>
    </cfRule>
    <cfRule type="expression" dxfId="48" priority="2">
      <formula>SEARCH("Incomplete", F2)</formula>
    </cfRule>
    <cfRule type="expression" dxfId="47" priority="3">
      <formula>SEARCH("Completed", F2)</formula>
    </cfRule>
  </conditionalFormatting>
  <dataValidations count="1">
    <dataValidation type="list" allowBlank="1" showInputMessage="1" showErrorMessage="1" sqref="F2:F21" xr:uid="{00000000-0002-0000-0100-000000000000}">
      <formula1>"Completed, Incomplete, In-Progress"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B11" sqref="B11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8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8" x14ac:dyDescent="0.3">
      <c r="A2" s="5">
        <f t="shared" ref="A2:A21" si="0">ROW() - ROW($A$1)</f>
        <v>1</v>
      </c>
      <c r="B2" s="20" t="s">
        <v>7</v>
      </c>
      <c r="C2" s="7">
        <v>0.375</v>
      </c>
      <c r="D2" s="8">
        <v>0.38541666666666669</v>
      </c>
      <c r="E2" s="8">
        <f>D2-C2</f>
        <v>1.0416666666666685E-2</v>
      </c>
      <c r="F2" s="9" t="s">
        <v>8</v>
      </c>
    </row>
    <row r="3" spans="1:8" x14ac:dyDescent="0.3">
      <c r="A3" s="5">
        <f t="shared" si="0"/>
        <v>2</v>
      </c>
      <c r="B3" s="21" t="s">
        <v>24</v>
      </c>
      <c r="C3" s="11">
        <v>0.38541666666666669</v>
      </c>
      <c r="D3" s="8">
        <v>0.3888888888888889</v>
      </c>
      <c r="E3" s="8">
        <f>D3-C3</f>
        <v>3.4722222222222099E-3</v>
      </c>
      <c r="F3" s="9" t="s">
        <v>8</v>
      </c>
    </row>
    <row r="4" spans="1:8" x14ac:dyDescent="0.3">
      <c r="A4" s="5">
        <f t="shared" si="0"/>
        <v>3</v>
      </c>
      <c r="B4" s="21" t="s">
        <v>9</v>
      </c>
      <c r="C4" s="11">
        <v>0.3888888888888889</v>
      </c>
      <c r="D4" s="8">
        <v>0.40277777777777779</v>
      </c>
      <c r="E4" s="8">
        <f>D5-C4</f>
        <v>1.7361111111111105E-2</v>
      </c>
      <c r="F4" s="9" t="s">
        <v>8</v>
      </c>
      <c r="H4" s="26"/>
    </row>
    <row r="5" spans="1:8" x14ac:dyDescent="0.3">
      <c r="A5" s="5">
        <f t="shared" si="0"/>
        <v>4</v>
      </c>
      <c r="B5" s="21" t="s">
        <v>10</v>
      </c>
      <c r="C5" s="11">
        <v>0.40277777777777779</v>
      </c>
      <c r="D5" s="8">
        <v>0.40625</v>
      </c>
      <c r="E5" s="8">
        <f t="shared" ref="E5:E21" si="1">D5-C5</f>
        <v>3.4722222222222099E-3</v>
      </c>
      <c r="F5" s="9" t="s">
        <v>8</v>
      </c>
    </row>
    <row r="6" spans="1:8" ht="28.8" customHeight="1" x14ac:dyDescent="0.3">
      <c r="A6" s="5">
        <f t="shared" si="0"/>
        <v>5</v>
      </c>
      <c r="B6" s="21" t="s">
        <v>25</v>
      </c>
      <c r="C6" s="11">
        <v>0.40625</v>
      </c>
      <c r="D6" s="8">
        <v>0.41666666666666669</v>
      </c>
      <c r="E6" s="8">
        <f t="shared" si="1"/>
        <v>1.0416666666666685E-2</v>
      </c>
      <c r="F6" s="9" t="s">
        <v>8</v>
      </c>
    </row>
    <row r="7" spans="1:8" ht="100.8" customHeight="1" x14ac:dyDescent="0.3">
      <c r="A7" s="5">
        <f t="shared" si="0"/>
        <v>6</v>
      </c>
      <c r="B7" s="21" t="s">
        <v>26</v>
      </c>
      <c r="C7" s="11">
        <v>0.4548611111111111</v>
      </c>
      <c r="D7" s="8">
        <v>0.47222222222222221</v>
      </c>
      <c r="E7" s="8">
        <f t="shared" si="1"/>
        <v>1.7361111111111105E-2</v>
      </c>
      <c r="F7" s="9" t="s">
        <v>13</v>
      </c>
    </row>
    <row r="8" spans="1:8" ht="28.8" customHeight="1" x14ac:dyDescent="0.3">
      <c r="A8" s="5">
        <f t="shared" si="0"/>
        <v>7</v>
      </c>
      <c r="B8" s="10" t="s">
        <v>27</v>
      </c>
      <c r="C8" s="11">
        <v>0.43055555555555558</v>
      </c>
      <c r="D8" s="8">
        <v>0.4375</v>
      </c>
      <c r="E8" s="11">
        <f t="shared" si="1"/>
        <v>6.9444444444444198E-3</v>
      </c>
      <c r="F8" s="9" t="s">
        <v>8</v>
      </c>
    </row>
    <row r="9" spans="1:8" ht="28.8" customHeight="1" x14ac:dyDescent="0.3">
      <c r="A9" s="5">
        <f t="shared" si="0"/>
        <v>8</v>
      </c>
      <c r="B9" s="10" t="s">
        <v>28</v>
      </c>
      <c r="C9" s="11">
        <v>0.44791666666666669</v>
      </c>
      <c r="D9" s="8">
        <v>0.4548611111111111</v>
      </c>
      <c r="E9" s="8">
        <f t="shared" si="1"/>
        <v>6.9444444444444198E-3</v>
      </c>
      <c r="F9" s="9" t="s">
        <v>8</v>
      </c>
    </row>
    <row r="10" spans="1:8" x14ac:dyDescent="0.3">
      <c r="A10" s="5">
        <f t="shared" si="0"/>
        <v>9</v>
      </c>
      <c r="B10" s="10" t="s">
        <v>16</v>
      </c>
      <c r="C10" s="11"/>
      <c r="D10" s="8"/>
      <c r="E10" s="8">
        <f t="shared" si="1"/>
        <v>0</v>
      </c>
      <c r="F10" s="9" t="s">
        <v>8</v>
      </c>
    </row>
    <row r="11" spans="1:8" x14ac:dyDescent="0.3">
      <c r="A11" s="5">
        <f t="shared" si="0"/>
        <v>10</v>
      </c>
      <c r="B11" s="10" t="s">
        <v>17</v>
      </c>
      <c r="C11" s="11"/>
      <c r="D11" s="12"/>
      <c r="E11" s="8">
        <f t="shared" si="1"/>
        <v>0</v>
      </c>
      <c r="F11" s="9" t="s">
        <v>8</v>
      </c>
    </row>
    <row r="12" spans="1:8" ht="43.2" customHeight="1" x14ac:dyDescent="0.3">
      <c r="A12" s="5">
        <f t="shared" si="0"/>
        <v>11</v>
      </c>
      <c r="B12" s="10" t="s">
        <v>29</v>
      </c>
      <c r="C12" s="11">
        <v>0.47916666666666669</v>
      </c>
      <c r="D12" s="12">
        <v>0.51875000000000004</v>
      </c>
      <c r="E12" s="8">
        <f t="shared" si="1"/>
        <v>3.9583333333333359E-2</v>
      </c>
      <c r="F12" s="9" t="s">
        <v>8</v>
      </c>
    </row>
    <row r="13" spans="1:8" ht="43.2" customHeight="1" x14ac:dyDescent="0.3">
      <c r="A13" s="5">
        <f t="shared" si="0"/>
        <v>12</v>
      </c>
      <c r="B13" s="10" t="s">
        <v>30</v>
      </c>
      <c r="C13" s="11">
        <v>0.54166666666666663</v>
      </c>
      <c r="D13" s="12">
        <v>0.69791666666666663</v>
      </c>
      <c r="E13" s="8">
        <f t="shared" si="1"/>
        <v>0.15625</v>
      </c>
      <c r="F13" s="9" t="s">
        <v>8</v>
      </c>
    </row>
    <row r="14" spans="1:8" ht="28.8" customHeight="1" x14ac:dyDescent="0.3">
      <c r="A14" s="5">
        <f t="shared" si="0"/>
        <v>13</v>
      </c>
      <c r="B14" s="10" t="s">
        <v>31</v>
      </c>
      <c r="C14" s="11">
        <v>0.55208333333333337</v>
      </c>
      <c r="D14" s="12">
        <v>0.57291666666666663</v>
      </c>
      <c r="E14" s="8">
        <f t="shared" si="1"/>
        <v>2.0833333333333259E-2</v>
      </c>
      <c r="F14" s="9" t="s">
        <v>8</v>
      </c>
    </row>
    <row r="15" spans="1:8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8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/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21" t="s">
        <v>32</v>
      </c>
      <c r="C19" s="11"/>
      <c r="D19" s="12"/>
      <c r="E19" s="8">
        <f t="shared" si="1"/>
        <v>0</v>
      </c>
      <c r="F19" s="9" t="s">
        <v>8</v>
      </c>
    </row>
    <row r="20" spans="1:6" x14ac:dyDescent="0.3">
      <c r="A20" s="5">
        <f t="shared" si="0"/>
        <v>19</v>
      </c>
      <c r="B20" s="21" t="s">
        <v>33</v>
      </c>
      <c r="C20" s="11">
        <v>0.69791666666666663</v>
      </c>
      <c r="D20" s="12">
        <v>0.76041666666666663</v>
      </c>
      <c r="E20" s="8">
        <f t="shared" si="1"/>
        <v>6.25E-2</v>
      </c>
      <c r="F20" s="9" t="s">
        <v>8</v>
      </c>
    </row>
    <row r="21" spans="1:6" ht="15" customHeight="1" thickBot="1" x14ac:dyDescent="0.35">
      <c r="A21" s="5">
        <f t="shared" si="0"/>
        <v>20</v>
      </c>
      <c r="B21" s="22" t="s">
        <v>23</v>
      </c>
      <c r="C21" s="13">
        <v>0.76041666666666663</v>
      </c>
      <c r="D21" s="14">
        <v>0.76180555555555551</v>
      </c>
      <c r="E21" s="8">
        <f t="shared" si="1"/>
        <v>1.388888888888884E-3</v>
      </c>
      <c r="F21" s="9" t="s">
        <v>8</v>
      </c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0.35694444444444434</v>
      </c>
      <c r="F22" s="19"/>
    </row>
    <row r="23" spans="1:6" ht="15" customHeight="1" thickBot="1" x14ac:dyDescent="0.35"/>
    <row r="24" spans="1:6" ht="15" customHeight="1" thickBot="1" x14ac:dyDescent="0.35">
      <c r="A24" s="31">
        <v>21</v>
      </c>
      <c r="B24" s="27" t="s">
        <v>34</v>
      </c>
      <c r="C24" s="28">
        <v>0.1041666666666667</v>
      </c>
      <c r="D24" s="29">
        <v>0.14583333333333329</v>
      </c>
      <c r="E24" s="29">
        <f>D24-C24</f>
        <v>4.1666666666666588E-2</v>
      </c>
      <c r="F24" s="30" t="s">
        <v>8</v>
      </c>
    </row>
  </sheetData>
  <conditionalFormatting sqref="F2:F21">
    <cfRule type="expression" dxfId="46" priority="4">
      <formula>SEARCH("In-Progress", F2)</formula>
    </cfRule>
    <cfRule type="expression" dxfId="45" priority="5">
      <formula>SEARCH("Incomplete", F2)</formula>
    </cfRule>
    <cfRule type="expression" dxfId="44" priority="6">
      <formula>SEARCH("Completed", F2)</formula>
    </cfRule>
  </conditionalFormatting>
  <conditionalFormatting sqref="F24">
    <cfRule type="expression" dxfId="43" priority="1">
      <formula>SEARCH("In-Progress", F24)</formula>
    </cfRule>
    <cfRule type="expression" dxfId="42" priority="2">
      <formula>SEARCH("Incomplete", F24)</formula>
    </cfRule>
    <cfRule type="expression" dxfId="41" priority="3">
      <formula>SEARCH("Completed", F24)</formula>
    </cfRule>
  </conditionalFormatting>
  <dataValidations count="1">
    <dataValidation type="list" allowBlank="1" showInputMessage="1" showErrorMessage="1" sqref="F2:F21 F24" xr:uid="{00000000-0002-0000-0200-000000000000}">
      <formula1>"Completed, Incomplete, In-Progress"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selection activeCell="B19" sqref="B19:B21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0.38194444444444442</v>
      </c>
      <c r="D2" s="8">
        <v>0.38680555555555562</v>
      </c>
      <c r="E2" s="8">
        <f t="shared" ref="E2:E21" si="1">D2-C2</f>
        <v>4.8611111111112049E-3</v>
      </c>
      <c r="F2" s="9"/>
    </row>
    <row r="3" spans="1:6" x14ac:dyDescent="0.3">
      <c r="A3" s="5">
        <f t="shared" si="0"/>
        <v>2</v>
      </c>
      <c r="B3" s="21" t="s">
        <v>24</v>
      </c>
      <c r="C3" s="11">
        <v>0.38680555555555562</v>
      </c>
      <c r="D3" s="8">
        <v>0.3923611111111111</v>
      </c>
      <c r="E3" s="8">
        <f t="shared" si="1"/>
        <v>5.5555555555554803E-3</v>
      </c>
      <c r="F3" s="9"/>
    </row>
    <row r="4" spans="1:6" x14ac:dyDescent="0.3">
      <c r="A4" s="5">
        <f t="shared" si="0"/>
        <v>3</v>
      </c>
      <c r="B4" s="21" t="s">
        <v>9</v>
      </c>
      <c r="C4" s="11">
        <v>0.3923611111111111</v>
      </c>
      <c r="D4" s="8">
        <v>0.40625</v>
      </c>
      <c r="E4" s="8">
        <f t="shared" si="1"/>
        <v>1.3888888888888895E-2</v>
      </c>
      <c r="F4" s="9"/>
    </row>
    <row r="5" spans="1:6" x14ac:dyDescent="0.3">
      <c r="A5" s="5">
        <f t="shared" si="0"/>
        <v>4</v>
      </c>
      <c r="B5" s="21" t="s">
        <v>10</v>
      </c>
      <c r="C5" s="11">
        <v>0.40625</v>
      </c>
      <c r="D5" s="8">
        <v>0.40972222222222221</v>
      </c>
      <c r="E5" s="8">
        <f t="shared" si="1"/>
        <v>3.4722222222222099E-3</v>
      </c>
      <c r="F5" s="9"/>
    </row>
    <row r="6" spans="1:6" ht="43.2" customHeight="1" x14ac:dyDescent="0.3">
      <c r="A6" s="5">
        <f t="shared" si="0"/>
        <v>5</v>
      </c>
      <c r="B6" s="21" t="s">
        <v>35</v>
      </c>
      <c r="C6" s="11">
        <v>0.41180555555555548</v>
      </c>
      <c r="D6" s="8">
        <v>0.45347222222222222</v>
      </c>
      <c r="E6" s="8">
        <f t="shared" si="1"/>
        <v>4.1666666666666741E-2</v>
      </c>
      <c r="F6" s="9"/>
    </row>
    <row r="7" spans="1:6" ht="28.8" customHeight="1" x14ac:dyDescent="0.3">
      <c r="A7" s="5">
        <f t="shared" si="0"/>
        <v>6</v>
      </c>
      <c r="B7" s="10" t="s">
        <v>36</v>
      </c>
      <c r="C7" s="11"/>
      <c r="D7" s="8"/>
      <c r="E7" s="8">
        <f t="shared" si="1"/>
        <v>0</v>
      </c>
      <c r="F7" s="9"/>
    </row>
    <row r="8" spans="1:6" ht="28.8" customHeight="1" x14ac:dyDescent="0.3">
      <c r="A8" s="5">
        <f t="shared" si="0"/>
        <v>7</v>
      </c>
      <c r="B8" s="10" t="s">
        <v>37</v>
      </c>
      <c r="C8" s="11"/>
      <c r="D8" s="8"/>
      <c r="E8" s="11">
        <f t="shared" si="1"/>
        <v>0</v>
      </c>
      <c r="F8" s="9"/>
    </row>
    <row r="9" spans="1:6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6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 t="s">
        <v>38</v>
      </c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 t="s">
        <v>39</v>
      </c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 t="s">
        <v>40</v>
      </c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 t="s">
        <v>41</v>
      </c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 t="s">
        <v>42</v>
      </c>
      <c r="C16" s="11"/>
      <c r="D16" s="12"/>
      <c r="E16" s="8">
        <f t="shared" si="1"/>
        <v>0</v>
      </c>
      <c r="F16" s="9"/>
    </row>
    <row r="17" spans="1:8" x14ac:dyDescent="0.3">
      <c r="A17" s="5">
        <f t="shared" si="0"/>
        <v>16</v>
      </c>
      <c r="B17" s="10" t="s">
        <v>43</v>
      </c>
      <c r="C17" s="11"/>
      <c r="D17" s="12"/>
      <c r="E17" s="8">
        <f t="shared" si="1"/>
        <v>0</v>
      </c>
      <c r="F17" s="9"/>
    </row>
    <row r="18" spans="1:8" x14ac:dyDescent="0.3">
      <c r="A18" s="5">
        <f t="shared" si="0"/>
        <v>17</v>
      </c>
      <c r="B18" s="10" t="s">
        <v>44</v>
      </c>
      <c r="C18" s="11"/>
      <c r="D18" s="12"/>
      <c r="E18" s="8">
        <f t="shared" si="1"/>
        <v>0</v>
      </c>
      <c r="F18" s="9"/>
    </row>
    <row r="19" spans="1:8" x14ac:dyDescent="0.3">
      <c r="A19" s="5">
        <f t="shared" si="0"/>
        <v>18</v>
      </c>
      <c r="B19" s="21" t="s">
        <v>32</v>
      </c>
      <c r="C19" s="11"/>
      <c r="D19" s="12"/>
      <c r="E19" s="8">
        <f t="shared" si="1"/>
        <v>0</v>
      </c>
      <c r="F19" s="9"/>
    </row>
    <row r="20" spans="1:8" x14ac:dyDescent="0.3">
      <c r="A20" s="5">
        <f t="shared" si="0"/>
        <v>19</v>
      </c>
      <c r="B20" s="21" t="s">
        <v>33</v>
      </c>
      <c r="C20" s="11"/>
      <c r="D20" s="12"/>
      <c r="E20" s="8">
        <f t="shared" si="1"/>
        <v>0</v>
      </c>
      <c r="F20" s="9"/>
    </row>
    <row r="21" spans="1:8" ht="15" customHeight="1" thickBot="1" x14ac:dyDescent="0.35">
      <c r="A21" s="5">
        <f t="shared" si="0"/>
        <v>20</v>
      </c>
      <c r="B21" s="22" t="s">
        <v>23</v>
      </c>
      <c r="C21" s="13"/>
      <c r="D21" s="14"/>
      <c r="E21" s="8">
        <f t="shared" si="1"/>
        <v>0</v>
      </c>
      <c r="F21" s="9"/>
      <c r="H21" s="26">
        <v>0.77708333333333335</v>
      </c>
    </row>
    <row r="22" spans="1:8" ht="15" customHeight="1" thickBot="1" x14ac:dyDescent="0.35">
      <c r="A22" s="15"/>
      <c r="B22" s="16" t="s">
        <v>6</v>
      </c>
      <c r="C22" s="17"/>
      <c r="D22" s="17"/>
      <c r="E22" s="18">
        <f>SUM(E2:E21)</f>
        <v>6.9444444444444531E-2</v>
      </c>
      <c r="F22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topLeftCell="A2" workbookViewId="0">
      <selection activeCell="B6" sqref="B6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7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7" x14ac:dyDescent="0.3">
      <c r="A2" s="5">
        <f t="shared" ref="A2:A21" si="0">ROW() - ROW($A$1)</f>
        <v>1</v>
      </c>
      <c r="B2" s="20" t="s">
        <v>7</v>
      </c>
      <c r="C2" s="7">
        <v>0.39583333333333331</v>
      </c>
      <c r="D2" s="8">
        <v>0.40277777777777779</v>
      </c>
      <c r="E2" s="8">
        <f t="shared" ref="E2:E21" si="1">D2-C2</f>
        <v>6.9444444444444753E-3</v>
      </c>
      <c r="F2" s="9" t="s">
        <v>8</v>
      </c>
    </row>
    <row r="3" spans="1:7" x14ac:dyDescent="0.3">
      <c r="A3" s="5">
        <f t="shared" si="0"/>
        <v>2</v>
      </c>
      <c r="B3" s="21" t="s">
        <v>24</v>
      </c>
      <c r="C3" s="11">
        <v>0.40277777777777779</v>
      </c>
      <c r="D3" s="8">
        <v>0.40625</v>
      </c>
      <c r="E3" s="8">
        <f t="shared" si="1"/>
        <v>3.4722222222222099E-3</v>
      </c>
      <c r="F3" s="9" t="s">
        <v>8</v>
      </c>
    </row>
    <row r="4" spans="1:7" x14ac:dyDescent="0.3">
      <c r="A4" s="5">
        <f t="shared" si="0"/>
        <v>3</v>
      </c>
      <c r="B4" s="21" t="s">
        <v>9</v>
      </c>
      <c r="C4" s="11">
        <v>0.40625</v>
      </c>
      <c r="D4" s="8">
        <v>0.41666666666666669</v>
      </c>
      <c r="E4" s="8">
        <f t="shared" si="1"/>
        <v>1.0416666666666685E-2</v>
      </c>
      <c r="F4" s="9" t="s">
        <v>8</v>
      </c>
    </row>
    <row r="5" spans="1:7" x14ac:dyDescent="0.3">
      <c r="A5" s="5">
        <f t="shared" si="0"/>
        <v>4</v>
      </c>
      <c r="B5" s="21" t="s">
        <v>11</v>
      </c>
      <c r="C5" s="11">
        <v>0.41666666666666669</v>
      </c>
      <c r="D5" s="8">
        <v>0.47222222222222221</v>
      </c>
      <c r="E5" s="8">
        <f t="shared" si="1"/>
        <v>5.5555555555555525E-2</v>
      </c>
      <c r="F5" s="9" t="s">
        <v>8</v>
      </c>
    </row>
    <row r="6" spans="1:7" ht="43.2" customHeight="1" x14ac:dyDescent="0.3">
      <c r="A6" s="5">
        <f t="shared" si="0"/>
        <v>5</v>
      </c>
      <c r="B6" s="10" t="s">
        <v>45</v>
      </c>
      <c r="C6" s="11">
        <v>0.47222222222222221</v>
      </c>
      <c r="D6" s="8">
        <v>0.47222222222222221</v>
      </c>
      <c r="E6" s="8">
        <f t="shared" si="1"/>
        <v>0</v>
      </c>
      <c r="F6" s="9" t="s">
        <v>8</v>
      </c>
      <c r="G6" s="26">
        <v>0.53194444444444444</v>
      </c>
    </row>
    <row r="7" spans="1:7" x14ac:dyDescent="0.3">
      <c r="A7" s="5">
        <f t="shared" si="0"/>
        <v>6</v>
      </c>
      <c r="B7" s="10" t="s">
        <v>46</v>
      </c>
      <c r="C7" s="11"/>
      <c r="D7" s="8"/>
      <c r="E7" s="8">
        <f t="shared" si="1"/>
        <v>0</v>
      </c>
      <c r="F7" s="9" t="s">
        <v>13</v>
      </c>
    </row>
    <row r="8" spans="1:7" x14ac:dyDescent="0.3">
      <c r="A8" s="5">
        <f t="shared" si="0"/>
        <v>7</v>
      </c>
      <c r="B8" s="10" t="s">
        <v>47</v>
      </c>
      <c r="C8" s="11"/>
      <c r="D8" s="8"/>
      <c r="E8" s="11">
        <f t="shared" si="1"/>
        <v>0</v>
      </c>
      <c r="F8" s="9"/>
    </row>
    <row r="9" spans="1:7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7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7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7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7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7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7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7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/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21" t="s">
        <v>32</v>
      </c>
      <c r="C19" s="11"/>
      <c r="D19" s="12"/>
      <c r="E19" s="8">
        <f t="shared" si="1"/>
        <v>0</v>
      </c>
      <c r="F19" s="9" t="s">
        <v>8</v>
      </c>
    </row>
    <row r="20" spans="1:6" x14ac:dyDescent="0.3">
      <c r="A20" s="5">
        <f t="shared" si="0"/>
        <v>19</v>
      </c>
      <c r="B20" s="21" t="s">
        <v>33</v>
      </c>
      <c r="C20" s="11"/>
      <c r="D20" s="12"/>
      <c r="E20" s="8">
        <f t="shared" si="1"/>
        <v>0</v>
      </c>
      <c r="F20" s="9" t="s">
        <v>8</v>
      </c>
    </row>
    <row r="21" spans="1:6" ht="15" customHeight="1" thickBot="1" x14ac:dyDescent="0.35">
      <c r="A21" s="5">
        <f t="shared" si="0"/>
        <v>20</v>
      </c>
      <c r="B21" s="22" t="s">
        <v>23</v>
      </c>
      <c r="C21" s="13"/>
      <c r="D21" s="14"/>
      <c r="E21" s="8">
        <f t="shared" si="1"/>
        <v>0</v>
      </c>
      <c r="F21" s="9" t="s">
        <v>8</v>
      </c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7.6388888888888895E-2</v>
      </c>
      <c r="F22" s="19"/>
    </row>
  </sheetData>
  <conditionalFormatting sqref="F2:F21">
    <cfRule type="expression" dxfId="40" priority="1">
      <formula>SEARCH("In-Progress", F2)</formula>
    </cfRule>
    <cfRule type="expression" dxfId="39" priority="2">
      <formula>SEARCH("Incomplete", F2)</formula>
    </cfRule>
    <cfRule type="expression" dxfId="38" priority="3">
      <formula>SEARCH("Completed", F2)</formula>
    </cfRule>
  </conditionalFormatting>
  <dataValidations count="1">
    <dataValidation type="list" allowBlank="1" showInputMessage="1" showErrorMessage="1" sqref="F2:F21" xr:uid="{00000000-0002-0000-0400-000000000000}">
      <formula1>"Completed, Incomplete, In-Progress"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activeCell="B6" sqref="B6"/>
    </sheetView>
  </sheetViews>
  <sheetFormatPr defaultRowHeight="14.4" x14ac:dyDescent="0.3"/>
  <cols>
    <col min="2" max="2" width="55.77734375" customWidth="1"/>
    <col min="3" max="5" width="10.21875" customWidth="1"/>
    <col min="6" max="6" width="12.33203125" customWidth="1"/>
  </cols>
  <sheetData>
    <row r="1" spans="1:7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7" x14ac:dyDescent="0.3">
      <c r="A2" s="5">
        <f t="shared" ref="A2:A21" si="0">ROW() - ROW($A$1)</f>
        <v>1</v>
      </c>
      <c r="B2" s="20" t="s">
        <v>7</v>
      </c>
      <c r="C2" s="7">
        <v>0.3923611111111111</v>
      </c>
      <c r="D2" s="8">
        <v>0.39930555555555558</v>
      </c>
      <c r="E2" s="8">
        <f t="shared" ref="E2:E21" si="1">D2-C2</f>
        <v>6.9444444444444753E-3</v>
      </c>
      <c r="F2" s="9" t="s">
        <v>8</v>
      </c>
    </row>
    <row r="3" spans="1:7" x14ac:dyDescent="0.3">
      <c r="A3" s="5">
        <f t="shared" si="0"/>
        <v>2</v>
      </c>
      <c r="B3" s="21" t="s">
        <v>24</v>
      </c>
      <c r="C3" s="11">
        <v>0.39930555555555558</v>
      </c>
      <c r="D3" s="8">
        <v>0.40277777777777779</v>
      </c>
      <c r="E3" s="8">
        <f t="shared" si="1"/>
        <v>3.4722222222222099E-3</v>
      </c>
      <c r="F3" s="9" t="s">
        <v>8</v>
      </c>
    </row>
    <row r="4" spans="1:7" x14ac:dyDescent="0.3">
      <c r="A4" s="5">
        <f t="shared" si="0"/>
        <v>3</v>
      </c>
      <c r="B4" s="21" t="s">
        <v>9</v>
      </c>
      <c r="C4" s="11">
        <v>0.40972222222222221</v>
      </c>
      <c r="D4" s="8">
        <v>0.41666666666666669</v>
      </c>
      <c r="E4" s="8">
        <f t="shared" si="1"/>
        <v>6.9444444444444753E-3</v>
      </c>
      <c r="F4" s="9" t="s">
        <v>8</v>
      </c>
    </row>
    <row r="5" spans="1:7" x14ac:dyDescent="0.3">
      <c r="A5" s="5">
        <f t="shared" si="0"/>
        <v>4</v>
      </c>
      <c r="B5" s="21" t="s">
        <v>11</v>
      </c>
      <c r="C5" s="11">
        <v>0.41666666666666669</v>
      </c>
      <c r="D5" s="8">
        <v>0.47916666666666669</v>
      </c>
      <c r="E5" s="8">
        <f t="shared" si="1"/>
        <v>6.25E-2</v>
      </c>
      <c r="F5" s="9" t="s">
        <v>8</v>
      </c>
    </row>
    <row r="6" spans="1:7" ht="100.8" customHeight="1" x14ac:dyDescent="0.3">
      <c r="A6" s="5">
        <f t="shared" si="0"/>
        <v>5</v>
      </c>
      <c r="B6" s="10" t="s">
        <v>48</v>
      </c>
      <c r="C6" s="11">
        <v>0.47916666666666669</v>
      </c>
      <c r="D6" s="8">
        <v>0.5625</v>
      </c>
      <c r="E6" s="8">
        <f t="shared" si="1"/>
        <v>8.3333333333333315E-2</v>
      </c>
      <c r="F6" s="9" t="s">
        <v>8</v>
      </c>
    </row>
    <row r="7" spans="1:7" x14ac:dyDescent="0.3">
      <c r="A7" s="5">
        <f t="shared" si="0"/>
        <v>6</v>
      </c>
      <c r="B7" s="10" t="s">
        <v>34</v>
      </c>
      <c r="C7" s="11">
        <v>0.5625</v>
      </c>
      <c r="D7" s="8">
        <v>0.60416666666666663</v>
      </c>
      <c r="E7" s="8">
        <f t="shared" si="1"/>
        <v>4.166666666666663E-2</v>
      </c>
      <c r="F7" s="9" t="s">
        <v>8</v>
      </c>
      <c r="G7" s="26"/>
    </row>
    <row r="8" spans="1:7" x14ac:dyDescent="0.3">
      <c r="A8" s="5">
        <f t="shared" si="0"/>
        <v>7</v>
      </c>
      <c r="B8" s="10" t="s">
        <v>49</v>
      </c>
      <c r="C8" s="11">
        <v>0.60416666666666663</v>
      </c>
      <c r="D8" s="8">
        <v>0.62083333333333335</v>
      </c>
      <c r="E8" s="11">
        <f t="shared" si="1"/>
        <v>1.6666666666666718E-2</v>
      </c>
      <c r="F8" s="9" t="s">
        <v>8</v>
      </c>
    </row>
    <row r="9" spans="1:7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7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7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7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7" x14ac:dyDescent="0.3">
      <c r="A13" s="5">
        <f t="shared" si="0"/>
        <v>12</v>
      </c>
      <c r="B13" s="10" t="s">
        <v>50</v>
      </c>
      <c r="C13" s="11"/>
      <c r="D13" s="12"/>
      <c r="E13" s="8">
        <f t="shared" si="1"/>
        <v>0</v>
      </c>
      <c r="F13" s="9"/>
    </row>
    <row r="14" spans="1:7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7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7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/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21" t="s">
        <v>32</v>
      </c>
      <c r="C19" s="11"/>
      <c r="D19" s="12"/>
      <c r="E19" s="8">
        <f t="shared" si="1"/>
        <v>0</v>
      </c>
      <c r="F19" s="9" t="s">
        <v>8</v>
      </c>
    </row>
    <row r="20" spans="1:6" x14ac:dyDescent="0.3">
      <c r="A20" s="5">
        <f t="shared" si="0"/>
        <v>19</v>
      </c>
      <c r="B20" s="21" t="s">
        <v>33</v>
      </c>
      <c r="C20" s="11"/>
      <c r="D20" s="12"/>
      <c r="E20" s="8">
        <f t="shared" si="1"/>
        <v>0</v>
      </c>
      <c r="F20" s="9" t="s">
        <v>8</v>
      </c>
    </row>
    <row r="21" spans="1:6" ht="15" customHeight="1" thickBot="1" x14ac:dyDescent="0.35">
      <c r="A21" s="5">
        <f t="shared" si="0"/>
        <v>20</v>
      </c>
      <c r="B21" s="22" t="s">
        <v>23</v>
      </c>
      <c r="C21" s="13"/>
      <c r="D21" s="14"/>
      <c r="E21" s="8">
        <f t="shared" si="1"/>
        <v>0</v>
      </c>
      <c r="F21" s="9" t="s">
        <v>8</v>
      </c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0.22152777777777782</v>
      </c>
      <c r="F22" s="19"/>
    </row>
  </sheetData>
  <conditionalFormatting sqref="F2:F21">
    <cfRule type="expression" dxfId="37" priority="1">
      <formula>SEARCH("In-Progress", F2)</formula>
    </cfRule>
    <cfRule type="expression" dxfId="36" priority="2">
      <formula>SEARCH("Incomplete", F2)</formula>
    </cfRule>
    <cfRule type="expression" dxfId="35" priority="3">
      <formula>SEARCH("Completed", F2)</formula>
    </cfRule>
  </conditionalFormatting>
  <dataValidations count="1">
    <dataValidation type="list" allowBlank="1" showInputMessage="1" showErrorMessage="1" sqref="F2:F21" xr:uid="{00000000-0002-0000-0500-000000000000}">
      <formula1>"Completed, Incomplete, In-Progress"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selection activeCell="B7" sqref="B7"/>
    </sheetView>
  </sheetViews>
  <sheetFormatPr defaultRowHeight="14.4" x14ac:dyDescent="0.3"/>
  <cols>
    <col min="2" max="2" width="63.664062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0.39583333333333331</v>
      </c>
      <c r="D2" s="8">
        <v>0.40625</v>
      </c>
      <c r="E2" s="8">
        <f>D2-C2</f>
        <v>1.0416666666666685E-2</v>
      </c>
      <c r="F2" s="9" t="s">
        <v>8</v>
      </c>
    </row>
    <row r="3" spans="1:6" x14ac:dyDescent="0.3">
      <c r="A3" s="5">
        <f t="shared" si="0"/>
        <v>2</v>
      </c>
      <c r="B3" s="21" t="s">
        <v>24</v>
      </c>
      <c r="C3" s="11">
        <v>0.40625</v>
      </c>
      <c r="D3" s="8">
        <v>0.41319444444444442</v>
      </c>
      <c r="E3" s="8">
        <f>D3-C3</f>
        <v>6.9444444444444198E-3</v>
      </c>
      <c r="F3" s="9" t="s">
        <v>8</v>
      </c>
    </row>
    <row r="4" spans="1:6" x14ac:dyDescent="0.3">
      <c r="A4" s="5">
        <f t="shared" si="0"/>
        <v>3</v>
      </c>
      <c r="B4" s="21" t="s">
        <v>9</v>
      </c>
      <c r="C4" s="11">
        <v>0.41319444444444442</v>
      </c>
      <c r="D4" s="8">
        <v>0.4236111111111111</v>
      </c>
      <c r="E4" s="8">
        <f>D4-C4</f>
        <v>1.0416666666666685E-2</v>
      </c>
      <c r="F4" s="9" t="s">
        <v>8</v>
      </c>
    </row>
    <row r="5" spans="1:6" x14ac:dyDescent="0.3">
      <c r="A5" s="5">
        <f t="shared" si="0"/>
        <v>4</v>
      </c>
      <c r="B5" s="21" t="s">
        <v>11</v>
      </c>
      <c r="C5" s="11">
        <v>0.4236111111111111</v>
      </c>
      <c r="D5" s="8">
        <v>0.44791666666666669</v>
      </c>
      <c r="E5" s="8">
        <f>D5-C5</f>
        <v>2.430555555555558E-2</v>
      </c>
      <c r="F5" s="9" t="s">
        <v>8</v>
      </c>
    </row>
    <row r="6" spans="1:6" ht="28.8" customHeight="1" x14ac:dyDescent="0.3">
      <c r="A6" s="5">
        <f t="shared" si="0"/>
        <v>5</v>
      </c>
      <c r="B6" s="10" t="s">
        <v>51</v>
      </c>
      <c r="C6" s="11">
        <v>0.44791666666666669</v>
      </c>
      <c r="D6" s="8">
        <v>0.47916666666666669</v>
      </c>
      <c r="E6" s="8">
        <f>D6-C6</f>
        <v>3.125E-2</v>
      </c>
      <c r="F6" s="9" t="s">
        <v>8</v>
      </c>
    </row>
    <row r="7" spans="1:6" x14ac:dyDescent="0.3">
      <c r="A7" s="5">
        <f t="shared" si="0"/>
        <v>6</v>
      </c>
      <c r="B7" s="10" t="s">
        <v>52</v>
      </c>
      <c r="C7" s="11">
        <v>0.47916666666666669</v>
      </c>
      <c r="D7" s="8">
        <v>0.5</v>
      </c>
      <c r="E7" s="8">
        <f t="shared" ref="E7:E21" si="1">D6-C6</f>
        <v>3.125E-2</v>
      </c>
      <c r="F7" s="9" t="s">
        <v>8</v>
      </c>
    </row>
    <row r="8" spans="1:6" ht="28.8" customHeight="1" x14ac:dyDescent="0.3">
      <c r="A8" s="5">
        <f t="shared" si="0"/>
        <v>7</v>
      </c>
      <c r="B8" s="10" t="s">
        <v>53</v>
      </c>
      <c r="C8" s="11">
        <v>0.52083333333333337</v>
      </c>
      <c r="D8" s="8">
        <v>0.58333333333333337</v>
      </c>
      <c r="E8" s="8">
        <f t="shared" si="1"/>
        <v>2.0833333333333315E-2</v>
      </c>
      <c r="F8" s="9" t="s">
        <v>8</v>
      </c>
    </row>
    <row r="9" spans="1:6" x14ac:dyDescent="0.3">
      <c r="A9" s="5">
        <f t="shared" si="0"/>
        <v>8</v>
      </c>
      <c r="B9" s="10" t="s">
        <v>54</v>
      </c>
      <c r="C9" s="11">
        <v>0.61527777777777781</v>
      </c>
      <c r="D9" s="8">
        <v>0.62152777777777779</v>
      </c>
      <c r="E9" s="8">
        <f t="shared" si="1"/>
        <v>6.25E-2</v>
      </c>
      <c r="F9" s="9" t="s">
        <v>8</v>
      </c>
    </row>
    <row r="10" spans="1:6" x14ac:dyDescent="0.3">
      <c r="A10" s="5">
        <f t="shared" si="0"/>
        <v>9</v>
      </c>
      <c r="B10" s="10" t="s">
        <v>55</v>
      </c>
      <c r="C10" s="11">
        <v>0.62152777777777779</v>
      </c>
      <c r="D10" s="8">
        <v>0.63541666666666663</v>
      </c>
      <c r="E10" s="8">
        <f t="shared" si="1"/>
        <v>6.2499999999999778E-3</v>
      </c>
      <c r="F10" s="9" t="s">
        <v>8</v>
      </c>
    </row>
    <row r="11" spans="1:6" x14ac:dyDescent="0.3">
      <c r="A11" s="5">
        <f t="shared" si="0"/>
        <v>10</v>
      </c>
      <c r="B11" s="10" t="s">
        <v>56</v>
      </c>
      <c r="C11" s="11">
        <v>0.63541666666666663</v>
      </c>
      <c r="D11" s="8">
        <v>0.64583333333333337</v>
      </c>
      <c r="E11" s="8">
        <f t="shared" si="1"/>
        <v>1.388888888888884E-2</v>
      </c>
      <c r="F11" s="9" t="s">
        <v>8</v>
      </c>
    </row>
    <row r="12" spans="1:6" x14ac:dyDescent="0.3">
      <c r="A12" s="5">
        <f t="shared" si="0"/>
        <v>11</v>
      </c>
      <c r="B12" s="10" t="s">
        <v>57</v>
      </c>
      <c r="C12" s="11">
        <v>0.64583333333333337</v>
      </c>
      <c r="D12" s="8">
        <v>0.66666666666666663</v>
      </c>
      <c r="E12" s="8">
        <f t="shared" si="1"/>
        <v>1.0416666666666741E-2</v>
      </c>
      <c r="F12" s="9" t="s">
        <v>8</v>
      </c>
    </row>
    <row r="13" spans="1:6" ht="28.8" customHeight="1" x14ac:dyDescent="0.3">
      <c r="A13" s="5">
        <f t="shared" si="0"/>
        <v>12</v>
      </c>
      <c r="B13" s="10" t="s">
        <v>58</v>
      </c>
      <c r="C13" s="11"/>
      <c r="D13" s="8"/>
      <c r="E13" s="8">
        <f t="shared" si="1"/>
        <v>2.0833333333333259E-2</v>
      </c>
      <c r="F13" s="9" t="s">
        <v>8</v>
      </c>
    </row>
    <row r="14" spans="1:6" x14ac:dyDescent="0.3">
      <c r="A14" s="5">
        <f t="shared" si="0"/>
        <v>13</v>
      </c>
      <c r="B14" s="10" t="s">
        <v>59</v>
      </c>
      <c r="C14" s="11"/>
      <c r="D14" s="8"/>
      <c r="E14" s="8">
        <f t="shared" si="1"/>
        <v>0</v>
      </c>
      <c r="F14" s="9" t="s">
        <v>8</v>
      </c>
    </row>
    <row r="15" spans="1:6" ht="28.8" customHeight="1" x14ac:dyDescent="0.3">
      <c r="A15" s="5">
        <f t="shared" si="0"/>
        <v>14</v>
      </c>
      <c r="B15" s="10" t="s">
        <v>60</v>
      </c>
      <c r="C15" s="11"/>
      <c r="D15" s="8"/>
      <c r="E15" s="8">
        <f t="shared" si="1"/>
        <v>0</v>
      </c>
      <c r="F15" s="9" t="s">
        <v>8</v>
      </c>
    </row>
    <row r="16" spans="1:6" ht="28.8" customHeight="1" x14ac:dyDescent="0.3">
      <c r="A16" s="5">
        <f t="shared" si="0"/>
        <v>15</v>
      </c>
      <c r="B16" s="10" t="s">
        <v>61</v>
      </c>
      <c r="C16" s="11"/>
      <c r="D16" s="8"/>
      <c r="E16" s="8">
        <f t="shared" si="1"/>
        <v>0</v>
      </c>
      <c r="F16" s="9" t="s">
        <v>8</v>
      </c>
    </row>
    <row r="17" spans="1:6" ht="28.8" customHeight="1" x14ac:dyDescent="0.3">
      <c r="A17" s="5">
        <f t="shared" si="0"/>
        <v>16</v>
      </c>
      <c r="B17" s="10" t="s">
        <v>62</v>
      </c>
      <c r="C17" s="11"/>
      <c r="D17" s="8"/>
      <c r="E17" s="8">
        <f t="shared" si="1"/>
        <v>0</v>
      </c>
      <c r="F17" s="9" t="s">
        <v>8</v>
      </c>
    </row>
    <row r="18" spans="1:6" x14ac:dyDescent="0.3">
      <c r="A18" s="5">
        <f t="shared" si="0"/>
        <v>17</v>
      </c>
      <c r="B18" s="10" t="s">
        <v>63</v>
      </c>
      <c r="C18" s="11"/>
      <c r="D18" s="8"/>
      <c r="E18" s="8">
        <f t="shared" si="1"/>
        <v>0</v>
      </c>
      <c r="F18" s="9" t="s">
        <v>8</v>
      </c>
    </row>
    <row r="19" spans="1:6" ht="28.8" customHeight="1" x14ac:dyDescent="0.3">
      <c r="A19" s="5">
        <f t="shared" si="0"/>
        <v>18</v>
      </c>
      <c r="B19" s="10" t="s">
        <v>64</v>
      </c>
      <c r="C19" s="11"/>
      <c r="D19" s="8"/>
      <c r="E19" s="8">
        <f t="shared" si="1"/>
        <v>0</v>
      </c>
      <c r="F19" s="9" t="s">
        <v>8</v>
      </c>
    </row>
    <row r="20" spans="1:6" x14ac:dyDescent="0.3">
      <c r="A20" s="5">
        <f t="shared" si="0"/>
        <v>19</v>
      </c>
      <c r="B20" s="10" t="s">
        <v>33</v>
      </c>
      <c r="C20" s="11"/>
      <c r="D20" s="8"/>
      <c r="E20" s="8">
        <f t="shared" si="1"/>
        <v>0</v>
      </c>
      <c r="F20" s="9" t="s">
        <v>8</v>
      </c>
    </row>
    <row r="21" spans="1:6" ht="15" customHeight="1" thickBot="1" x14ac:dyDescent="0.35">
      <c r="A21" s="5">
        <f t="shared" si="0"/>
        <v>20</v>
      </c>
      <c r="B21" s="10" t="s">
        <v>23</v>
      </c>
      <c r="C21" s="11"/>
      <c r="D21" s="8"/>
      <c r="E21" s="8">
        <f t="shared" si="1"/>
        <v>0</v>
      </c>
      <c r="F21" s="9" t="s">
        <v>8</v>
      </c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0.2493055555555555</v>
      </c>
      <c r="F22" s="19"/>
    </row>
  </sheetData>
  <conditionalFormatting sqref="F2:F21">
    <cfRule type="expression" dxfId="34" priority="1">
      <formula>SEARCH("In-Progress", F2)</formula>
    </cfRule>
    <cfRule type="expression" dxfId="33" priority="2">
      <formula>SEARCH("Incomplete", F2)</formula>
    </cfRule>
    <cfRule type="expression" dxfId="32" priority="3">
      <formula>SEARCH("Completed", F2)</formula>
    </cfRule>
  </conditionalFormatting>
  <dataValidations count="1">
    <dataValidation type="list" allowBlank="1" showInputMessage="1" showErrorMessage="1" sqref="F2:F21" xr:uid="{00000000-0002-0000-0600-000000000000}">
      <formula1>"Completed, Incomplete, In-Progress"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workbookViewId="0">
      <selection activeCell="B9" sqref="B9"/>
    </sheetView>
  </sheetViews>
  <sheetFormatPr defaultRowHeight="14.4" x14ac:dyDescent="0.3"/>
  <cols>
    <col min="2" max="2" width="67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0.39374999999999999</v>
      </c>
      <c r="D2" s="8">
        <v>0.39930555555555558</v>
      </c>
      <c r="E2" s="8">
        <f t="shared" ref="E2:E21" si="1">D2-C2</f>
        <v>5.5555555555555913E-3</v>
      </c>
      <c r="F2" s="9" t="s">
        <v>8</v>
      </c>
    </row>
    <row r="3" spans="1:6" x14ac:dyDescent="0.3">
      <c r="A3" s="5">
        <f t="shared" si="0"/>
        <v>2</v>
      </c>
      <c r="B3" s="21" t="s">
        <v>24</v>
      </c>
      <c r="C3" s="11">
        <v>0.39930555555555558</v>
      </c>
      <c r="D3" s="8">
        <v>0.40277777777777779</v>
      </c>
      <c r="E3" s="8">
        <f t="shared" si="1"/>
        <v>3.4722222222222099E-3</v>
      </c>
      <c r="F3" s="9" t="s">
        <v>8</v>
      </c>
    </row>
    <row r="4" spans="1:6" x14ac:dyDescent="0.3">
      <c r="A4" s="5">
        <f t="shared" si="0"/>
        <v>3</v>
      </c>
      <c r="B4" s="21" t="s">
        <v>9</v>
      </c>
      <c r="C4" s="11">
        <v>0.40277777777777779</v>
      </c>
      <c r="D4" s="8">
        <v>0.41666666666666669</v>
      </c>
      <c r="E4" s="8">
        <f t="shared" si="1"/>
        <v>1.3888888888888895E-2</v>
      </c>
      <c r="F4" s="9" t="s">
        <v>8</v>
      </c>
    </row>
    <row r="5" spans="1:6" x14ac:dyDescent="0.3">
      <c r="A5" s="5">
        <f t="shared" si="0"/>
        <v>4</v>
      </c>
      <c r="B5" s="21" t="s">
        <v>11</v>
      </c>
      <c r="C5" s="11">
        <v>0.41666666666666669</v>
      </c>
      <c r="D5" s="8">
        <v>0.47916666666666669</v>
      </c>
      <c r="E5" s="8">
        <f t="shared" si="1"/>
        <v>6.25E-2</v>
      </c>
      <c r="F5" s="9" t="s">
        <v>8</v>
      </c>
    </row>
    <row r="6" spans="1:6" ht="28.8" customHeight="1" x14ac:dyDescent="0.3">
      <c r="A6" s="5">
        <f t="shared" si="0"/>
        <v>5</v>
      </c>
      <c r="B6" s="10" t="s">
        <v>65</v>
      </c>
      <c r="C6" s="11"/>
      <c r="D6" s="8"/>
      <c r="E6" s="8">
        <f t="shared" si="1"/>
        <v>0</v>
      </c>
      <c r="F6" s="9" t="s">
        <v>8</v>
      </c>
    </row>
    <row r="7" spans="1:6" x14ac:dyDescent="0.3">
      <c r="A7" s="5">
        <f t="shared" si="0"/>
        <v>6</v>
      </c>
      <c r="B7" s="10" t="s">
        <v>66</v>
      </c>
      <c r="C7" s="11"/>
      <c r="D7" s="8"/>
      <c r="E7" s="8">
        <f t="shared" si="1"/>
        <v>0</v>
      </c>
      <c r="F7" s="9" t="s">
        <v>8</v>
      </c>
    </row>
    <row r="8" spans="1:6" ht="28.8" customHeight="1" x14ac:dyDescent="0.3">
      <c r="A8" s="5">
        <f t="shared" si="0"/>
        <v>7</v>
      </c>
      <c r="B8" s="10" t="s">
        <v>67</v>
      </c>
      <c r="C8" s="11"/>
      <c r="D8" s="8"/>
      <c r="E8" s="11">
        <f t="shared" si="1"/>
        <v>0</v>
      </c>
      <c r="F8" s="9" t="s">
        <v>8</v>
      </c>
    </row>
    <row r="9" spans="1:6" x14ac:dyDescent="0.3">
      <c r="A9" s="5">
        <f t="shared" si="0"/>
        <v>8</v>
      </c>
      <c r="B9" s="10" t="s">
        <v>68</v>
      </c>
      <c r="C9" s="11"/>
      <c r="D9" s="8"/>
      <c r="E9" s="8">
        <f t="shared" si="1"/>
        <v>0</v>
      </c>
      <c r="F9" s="9" t="s">
        <v>8</v>
      </c>
    </row>
    <row r="10" spans="1:6" x14ac:dyDescent="0.3">
      <c r="A10" s="5">
        <f t="shared" si="0"/>
        <v>9</v>
      </c>
      <c r="B10" s="10" t="s">
        <v>69</v>
      </c>
      <c r="C10" s="11"/>
      <c r="D10" s="8"/>
      <c r="E10" s="8">
        <f t="shared" si="1"/>
        <v>0</v>
      </c>
      <c r="F10" s="9" t="s">
        <v>8</v>
      </c>
    </row>
    <row r="11" spans="1:6" x14ac:dyDescent="0.3">
      <c r="A11" s="5">
        <f t="shared" si="0"/>
        <v>10</v>
      </c>
      <c r="B11" s="10" t="s">
        <v>70</v>
      </c>
      <c r="C11" s="11"/>
      <c r="D11" s="12"/>
      <c r="E11" s="8">
        <f t="shared" si="1"/>
        <v>0</v>
      </c>
      <c r="F11" s="9" t="s">
        <v>8</v>
      </c>
    </row>
    <row r="12" spans="1:6" x14ac:dyDescent="0.3">
      <c r="A12" s="5">
        <f t="shared" si="0"/>
        <v>11</v>
      </c>
      <c r="B12" s="10" t="s">
        <v>71</v>
      </c>
      <c r="C12" s="11"/>
      <c r="D12" s="12"/>
      <c r="E12" s="8">
        <f t="shared" si="1"/>
        <v>0</v>
      </c>
      <c r="F12" s="9" t="s">
        <v>8</v>
      </c>
    </row>
    <row r="13" spans="1:6" x14ac:dyDescent="0.3">
      <c r="A13" s="5">
        <f t="shared" si="0"/>
        <v>12</v>
      </c>
      <c r="B13" s="10" t="s">
        <v>33</v>
      </c>
      <c r="C13" s="11"/>
      <c r="D13" s="12"/>
      <c r="E13" s="8">
        <f t="shared" si="1"/>
        <v>0</v>
      </c>
      <c r="F13" s="9" t="s">
        <v>8</v>
      </c>
    </row>
    <row r="14" spans="1:6" x14ac:dyDescent="0.3">
      <c r="A14" s="5">
        <f t="shared" si="0"/>
        <v>13</v>
      </c>
      <c r="B14" s="10" t="s">
        <v>23</v>
      </c>
      <c r="C14" s="11"/>
      <c r="D14" s="12"/>
      <c r="E14" s="8">
        <f t="shared" si="1"/>
        <v>0</v>
      </c>
      <c r="F14" s="9" t="s">
        <v>8</v>
      </c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/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/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/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/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8.5416666666666696E-2</v>
      </c>
      <c r="F22" s="19"/>
    </row>
    <row r="32" spans="1:6" x14ac:dyDescent="0.3">
      <c r="C32" s="38"/>
    </row>
    <row r="33" spans="3:3" x14ac:dyDescent="0.3">
      <c r="C33" s="39"/>
    </row>
    <row r="34" spans="3:3" x14ac:dyDescent="0.3">
      <c r="C34" s="39"/>
    </row>
  </sheetData>
  <conditionalFormatting sqref="F2:F21">
    <cfRule type="expression" dxfId="31" priority="1">
      <formula>SEARCH("In-Progress", F2)</formula>
    </cfRule>
    <cfRule type="expression" dxfId="30" priority="2">
      <formula>SEARCH("Incomplete", F2)</formula>
    </cfRule>
    <cfRule type="expression" dxfId="29" priority="3">
      <formula>SEARCH("Completed", F2)</formula>
    </cfRule>
  </conditionalFormatting>
  <dataValidations count="1">
    <dataValidation type="list" allowBlank="1" showInputMessage="1" showErrorMessage="1" sqref="F2:F21" xr:uid="{00000000-0002-0000-0700-000000000000}">
      <formula1>"Completed, Incomplete, In-Progress"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>
      <selection activeCell="B18" sqref="B18:B21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0.39583333333333331</v>
      </c>
      <c r="D2" s="8">
        <v>0.40277777777777779</v>
      </c>
      <c r="E2" s="8">
        <f t="shared" ref="E2:E21" si="1">D2-C2</f>
        <v>6.9444444444444753E-3</v>
      </c>
      <c r="F2" s="9" t="s">
        <v>8</v>
      </c>
    </row>
    <row r="3" spans="1:6" x14ac:dyDescent="0.3">
      <c r="A3" s="5">
        <f t="shared" si="0"/>
        <v>2</v>
      </c>
      <c r="B3" s="21" t="s">
        <v>24</v>
      </c>
      <c r="C3" s="11">
        <v>0.40277777777777779</v>
      </c>
      <c r="D3" s="8">
        <v>0.40625</v>
      </c>
      <c r="E3" s="8">
        <f t="shared" si="1"/>
        <v>3.4722222222222099E-3</v>
      </c>
      <c r="F3" s="9" t="s">
        <v>8</v>
      </c>
    </row>
    <row r="4" spans="1:6" x14ac:dyDescent="0.3">
      <c r="A4" s="5">
        <f t="shared" si="0"/>
        <v>3</v>
      </c>
      <c r="B4" s="21" t="s">
        <v>9</v>
      </c>
      <c r="C4" s="11">
        <v>0.40625</v>
      </c>
      <c r="D4" s="8">
        <v>0.41666666666666669</v>
      </c>
      <c r="E4" s="8">
        <f t="shared" si="1"/>
        <v>1.0416666666666685E-2</v>
      </c>
      <c r="F4" s="9" t="s">
        <v>8</v>
      </c>
    </row>
    <row r="5" spans="1:6" x14ac:dyDescent="0.3">
      <c r="A5" s="5">
        <f t="shared" si="0"/>
        <v>4</v>
      </c>
      <c r="B5" s="21" t="s">
        <v>11</v>
      </c>
      <c r="C5" s="11"/>
      <c r="D5" s="8"/>
      <c r="E5" s="8">
        <f t="shared" si="1"/>
        <v>0</v>
      </c>
      <c r="F5" s="9"/>
    </row>
    <row r="6" spans="1:6" x14ac:dyDescent="0.3">
      <c r="A6" s="5">
        <f t="shared" si="0"/>
        <v>5</v>
      </c>
      <c r="B6" s="10"/>
      <c r="C6" s="11"/>
      <c r="D6" s="8"/>
      <c r="E6" s="8">
        <f t="shared" si="1"/>
        <v>0</v>
      </c>
      <c r="F6" s="9"/>
    </row>
    <row r="7" spans="1:6" x14ac:dyDescent="0.3">
      <c r="A7" s="5">
        <f t="shared" si="0"/>
        <v>6</v>
      </c>
      <c r="B7" s="10"/>
      <c r="C7" s="11"/>
      <c r="D7" s="8"/>
      <c r="E7" s="8">
        <f t="shared" si="1"/>
        <v>0</v>
      </c>
      <c r="F7" s="9"/>
    </row>
    <row r="8" spans="1:6" x14ac:dyDescent="0.3">
      <c r="A8" s="5">
        <f t="shared" si="0"/>
        <v>7</v>
      </c>
      <c r="B8" s="10"/>
      <c r="C8" s="11"/>
      <c r="D8" s="8"/>
      <c r="E8" s="11">
        <f t="shared" si="1"/>
        <v>0</v>
      </c>
      <c r="F8" s="9"/>
    </row>
    <row r="9" spans="1:6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6" x14ac:dyDescent="0.3">
      <c r="A10" s="5">
        <f t="shared" si="0"/>
        <v>9</v>
      </c>
      <c r="B10" s="10" t="s">
        <v>72</v>
      </c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 t="s">
        <v>73</v>
      </c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 t="s">
        <v>74</v>
      </c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 t="s">
        <v>75</v>
      </c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 t="s">
        <v>76</v>
      </c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69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 t="s">
        <v>71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 t="s">
        <v>33</v>
      </c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 t="s">
        <v>23</v>
      </c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2.083333333333337E-2</v>
      </c>
      <c r="F22" s="19"/>
    </row>
  </sheetData>
  <conditionalFormatting sqref="F2:F21">
    <cfRule type="expression" dxfId="28" priority="1">
      <formula>SEARCH("In-Progress", F2)</formula>
    </cfRule>
    <cfRule type="expression" dxfId="27" priority="2">
      <formula>SEARCH("Incomplete", F2)</formula>
    </cfRule>
    <cfRule type="expression" dxfId="26" priority="3">
      <formula>SEARCH("Completed", F2)</formula>
    </cfRule>
  </conditionalFormatting>
  <dataValidations count="1">
    <dataValidation type="list" allowBlank="1" showInputMessage="1" showErrorMessage="1" sqref="F2:F21" xr:uid="{00000000-0002-0000-0800-000000000000}">
      <formula1>"Completed, Incomplete, In-Progress"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5"/>
  <sheetViews>
    <sheetView workbookViewId="0">
      <selection activeCell="B20" sqref="B20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7" ht="15" customHeight="1" thickBot="1" x14ac:dyDescent="0.35">
      <c r="A1" s="51" t="s">
        <v>0</v>
      </c>
      <c r="B1" s="52" t="s">
        <v>1</v>
      </c>
      <c r="C1" s="3" t="s">
        <v>2</v>
      </c>
      <c r="D1" s="3" t="s">
        <v>3</v>
      </c>
      <c r="E1" s="53" t="s">
        <v>4</v>
      </c>
      <c r="F1" s="52" t="s">
        <v>5</v>
      </c>
    </row>
    <row r="2" spans="1:7" x14ac:dyDescent="0.3">
      <c r="A2" s="45">
        <f t="shared" ref="A2:A21" si="0">ROW() - ROW($A$1)</f>
        <v>1</v>
      </c>
      <c r="B2" s="20" t="s">
        <v>7</v>
      </c>
      <c r="C2" s="7">
        <v>0.4375</v>
      </c>
      <c r="D2" s="46">
        <v>0.44791666666666669</v>
      </c>
      <c r="E2" s="46">
        <f t="shared" ref="E2:E21" si="1">D2-C2</f>
        <v>1.0416666666666685E-2</v>
      </c>
      <c r="F2" s="47"/>
    </row>
    <row r="3" spans="1:7" x14ac:dyDescent="0.3">
      <c r="A3" s="5">
        <f t="shared" si="0"/>
        <v>2</v>
      </c>
      <c r="B3" s="21" t="s">
        <v>24</v>
      </c>
      <c r="C3" s="11">
        <v>0.44791666666666669</v>
      </c>
      <c r="D3" s="8">
        <v>0.4513888888888889</v>
      </c>
      <c r="E3" s="8">
        <f t="shared" si="1"/>
        <v>3.4722222222222099E-3</v>
      </c>
      <c r="F3" s="9"/>
      <c r="G3" t="s">
        <v>77</v>
      </c>
    </row>
    <row r="4" spans="1:7" ht="15" customHeight="1" thickBot="1" x14ac:dyDescent="0.35">
      <c r="A4" s="48">
        <f t="shared" si="0"/>
        <v>3</v>
      </c>
      <c r="B4" s="22" t="s">
        <v>9</v>
      </c>
      <c r="C4" s="13">
        <v>0.4513888888888889</v>
      </c>
      <c r="D4" s="14">
        <v>0.47569444444444442</v>
      </c>
      <c r="E4" s="14">
        <f t="shared" si="1"/>
        <v>2.4305555555555525E-2</v>
      </c>
      <c r="F4" s="49"/>
    </row>
    <row r="5" spans="1:7" ht="15" customHeight="1" thickBot="1" x14ac:dyDescent="0.35">
      <c r="A5" s="41">
        <f t="shared" si="0"/>
        <v>4</v>
      </c>
      <c r="B5" s="54" t="s">
        <v>11</v>
      </c>
      <c r="C5" s="55">
        <v>0.42708333333333331</v>
      </c>
      <c r="D5" s="50">
        <v>0.4375</v>
      </c>
      <c r="E5" s="50">
        <f t="shared" si="1"/>
        <v>1.0416666666666685E-2</v>
      </c>
      <c r="F5" s="42"/>
    </row>
    <row r="6" spans="1:7" x14ac:dyDescent="0.3">
      <c r="A6" s="45">
        <f t="shared" si="0"/>
        <v>5</v>
      </c>
      <c r="B6" s="20" t="s">
        <v>78</v>
      </c>
      <c r="C6" s="7">
        <v>0.47569444444444442</v>
      </c>
      <c r="D6" s="46"/>
      <c r="E6" s="46">
        <f t="shared" si="1"/>
        <v>-0.47569444444444442</v>
      </c>
      <c r="F6" s="47"/>
    </row>
    <row r="7" spans="1:7" x14ac:dyDescent="0.3">
      <c r="A7" s="5">
        <f t="shared" si="0"/>
        <v>6</v>
      </c>
      <c r="B7" s="21" t="s">
        <v>79</v>
      </c>
      <c r="C7" s="11"/>
      <c r="D7" s="8"/>
      <c r="E7" s="8">
        <f t="shared" si="1"/>
        <v>0</v>
      </c>
      <c r="F7" s="9"/>
      <c r="G7" t="s">
        <v>80</v>
      </c>
    </row>
    <row r="8" spans="1:7" ht="15" customHeight="1" thickBot="1" x14ac:dyDescent="0.35">
      <c r="A8" s="48">
        <f t="shared" si="0"/>
        <v>7</v>
      </c>
      <c r="B8" s="22" t="s">
        <v>81</v>
      </c>
      <c r="C8" s="13"/>
      <c r="D8" s="14">
        <v>0.56805555555555554</v>
      </c>
      <c r="E8" s="13">
        <f t="shared" si="1"/>
        <v>0.56805555555555554</v>
      </c>
      <c r="F8" s="49"/>
    </row>
    <row r="9" spans="1:7" x14ac:dyDescent="0.3">
      <c r="A9" s="45">
        <f t="shared" si="0"/>
        <v>8</v>
      </c>
      <c r="B9" s="54" t="s">
        <v>82</v>
      </c>
      <c r="C9" s="7">
        <v>0.54166666666666663</v>
      </c>
      <c r="D9" s="46"/>
      <c r="E9" s="46">
        <f t="shared" si="1"/>
        <v>-0.54166666666666663</v>
      </c>
      <c r="F9" s="47"/>
    </row>
    <row r="10" spans="1:7" x14ac:dyDescent="0.3">
      <c r="A10" s="5">
        <f t="shared" si="0"/>
        <v>9</v>
      </c>
      <c r="B10" s="10" t="s">
        <v>83</v>
      </c>
      <c r="C10" s="11"/>
      <c r="D10" s="8"/>
      <c r="E10" s="8">
        <f t="shared" si="1"/>
        <v>0</v>
      </c>
      <c r="F10" s="9"/>
    </row>
    <row r="11" spans="1:7" x14ac:dyDescent="0.3">
      <c r="A11" s="5">
        <f t="shared" si="0"/>
        <v>10</v>
      </c>
      <c r="B11" s="10" t="s">
        <v>84</v>
      </c>
      <c r="C11" s="11"/>
      <c r="D11" s="8"/>
      <c r="E11" s="8">
        <f t="shared" si="1"/>
        <v>0</v>
      </c>
      <c r="F11" s="9"/>
    </row>
    <row r="12" spans="1:7" x14ac:dyDescent="0.3">
      <c r="A12" s="5">
        <f t="shared" si="0"/>
        <v>11</v>
      </c>
      <c r="B12" s="10"/>
      <c r="C12" s="43"/>
      <c r="D12" s="50"/>
      <c r="E12" s="44">
        <f t="shared" si="1"/>
        <v>0</v>
      </c>
      <c r="F12" s="9"/>
    </row>
    <row r="13" spans="1:7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7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7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7" x14ac:dyDescent="0.3">
      <c r="A16" s="5">
        <f t="shared" si="0"/>
        <v>15</v>
      </c>
      <c r="B16" s="10" t="s">
        <v>85</v>
      </c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 t="s">
        <v>41</v>
      </c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86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 t="s">
        <v>43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 t="s">
        <v>69</v>
      </c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 t="s">
        <v>33</v>
      </c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-0.40069444444444441</v>
      </c>
      <c r="F22" s="19"/>
    </row>
    <row r="29" spans="1:6" x14ac:dyDescent="0.3">
      <c r="D29" s="38"/>
    </row>
    <row r="30" spans="1:6" x14ac:dyDescent="0.3">
      <c r="D30" s="38"/>
    </row>
    <row r="31" spans="1:6" x14ac:dyDescent="0.3">
      <c r="D31" s="38"/>
    </row>
    <row r="33" spans="2:2" x14ac:dyDescent="0.3">
      <c r="B33" s="21" t="s">
        <v>87</v>
      </c>
    </row>
    <row r="34" spans="2:2" x14ac:dyDescent="0.3">
      <c r="B34" s="21" t="s">
        <v>88</v>
      </c>
    </row>
    <row r="35" spans="2:2" ht="28.8" customHeight="1" x14ac:dyDescent="0.3">
      <c r="B35" s="21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topLeftCell="A6" workbookViewId="0">
      <selection activeCell="B18" sqref="B18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0.40347222222222218</v>
      </c>
      <c r="D2" s="8">
        <v>0.40833333333333333</v>
      </c>
      <c r="E2" s="8">
        <f t="shared" ref="E2:E21" si="1">D2-C2</f>
        <v>4.8611111111111494E-3</v>
      </c>
      <c r="F2" s="9" t="s">
        <v>8</v>
      </c>
    </row>
    <row r="3" spans="1:6" x14ac:dyDescent="0.3">
      <c r="A3" s="5">
        <f t="shared" si="0"/>
        <v>2</v>
      </c>
      <c r="B3" s="21" t="s">
        <v>24</v>
      </c>
      <c r="C3" s="11">
        <v>0.40833333333333333</v>
      </c>
      <c r="D3" s="8">
        <v>0.40972222222222221</v>
      </c>
      <c r="E3" s="8">
        <f t="shared" si="1"/>
        <v>1.388888888888884E-3</v>
      </c>
      <c r="F3" s="9" t="s">
        <v>8</v>
      </c>
    </row>
    <row r="4" spans="1:6" x14ac:dyDescent="0.3">
      <c r="A4" s="5">
        <f t="shared" si="0"/>
        <v>3</v>
      </c>
      <c r="B4" s="10" t="s">
        <v>9</v>
      </c>
      <c r="C4" s="11">
        <v>0.40972222222222221</v>
      </c>
      <c r="D4" s="8">
        <v>0.41666666666666669</v>
      </c>
      <c r="E4" s="8">
        <f t="shared" si="1"/>
        <v>6.9444444444444753E-3</v>
      </c>
      <c r="F4" s="9" t="s">
        <v>8</v>
      </c>
    </row>
    <row r="5" spans="1:6" x14ac:dyDescent="0.3">
      <c r="A5" s="5">
        <f t="shared" si="0"/>
        <v>4</v>
      </c>
      <c r="B5" s="10" t="s">
        <v>11</v>
      </c>
      <c r="C5" s="11">
        <v>0.41666666666666669</v>
      </c>
      <c r="D5" s="8">
        <v>0.47916666666666669</v>
      </c>
      <c r="E5" s="8">
        <f t="shared" si="1"/>
        <v>6.25E-2</v>
      </c>
      <c r="F5" s="9" t="s">
        <v>8</v>
      </c>
    </row>
    <row r="6" spans="1:6" x14ac:dyDescent="0.3">
      <c r="A6" s="5">
        <f t="shared" si="0"/>
        <v>5</v>
      </c>
      <c r="B6" s="10" t="s">
        <v>90</v>
      </c>
      <c r="C6" s="11">
        <v>0.4861111111111111</v>
      </c>
      <c r="D6" s="8">
        <v>0.49166666666666659</v>
      </c>
      <c r="E6" s="8">
        <f t="shared" si="1"/>
        <v>5.5555555555554803E-3</v>
      </c>
      <c r="F6" s="9" t="s">
        <v>8</v>
      </c>
    </row>
    <row r="7" spans="1:6" x14ac:dyDescent="0.3">
      <c r="A7" s="5">
        <f t="shared" si="0"/>
        <v>6</v>
      </c>
      <c r="B7" s="10" t="s">
        <v>91</v>
      </c>
      <c r="C7" s="11">
        <v>0.49166666666666659</v>
      </c>
      <c r="D7" s="8">
        <v>0.49305555555555558</v>
      </c>
      <c r="E7" s="8">
        <f t="shared" si="1"/>
        <v>1.388888888888995E-3</v>
      </c>
      <c r="F7" s="9" t="s">
        <v>8</v>
      </c>
    </row>
    <row r="8" spans="1:6" x14ac:dyDescent="0.3">
      <c r="A8" s="5">
        <f t="shared" si="0"/>
        <v>7</v>
      </c>
      <c r="B8" s="10" t="s">
        <v>92</v>
      </c>
      <c r="C8" s="11">
        <v>0.52083333333333337</v>
      </c>
      <c r="D8" s="8">
        <v>0.52430555555555558</v>
      </c>
      <c r="E8" s="11">
        <f t="shared" si="1"/>
        <v>3.4722222222222099E-3</v>
      </c>
      <c r="F8" s="9" t="s">
        <v>8</v>
      </c>
    </row>
    <row r="9" spans="1:6" ht="43.2" customHeight="1" x14ac:dyDescent="0.3">
      <c r="A9" s="5">
        <f t="shared" si="0"/>
        <v>8</v>
      </c>
      <c r="B9" s="10" t="s">
        <v>93</v>
      </c>
      <c r="C9" s="11"/>
      <c r="D9" s="8"/>
      <c r="E9" s="8">
        <f t="shared" si="1"/>
        <v>0</v>
      </c>
      <c r="F9" s="9"/>
    </row>
    <row r="10" spans="1:6" ht="28.8" customHeight="1" x14ac:dyDescent="0.3">
      <c r="A10" s="5">
        <f t="shared" si="0"/>
        <v>9</v>
      </c>
      <c r="B10" s="56" t="s">
        <v>94</v>
      </c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 t="s">
        <v>95</v>
      </c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69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 t="s">
        <v>71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 t="s">
        <v>33</v>
      </c>
      <c r="C20" s="11">
        <v>0.72222222222222221</v>
      </c>
      <c r="D20" s="12">
        <v>0.76388888888888884</v>
      </c>
      <c r="E20" s="8">
        <f t="shared" si="1"/>
        <v>4.166666666666663E-2</v>
      </c>
      <c r="F20" s="9"/>
    </row>
    <row r="21" spans="1:6" ht="15" customHeight="1" thickBot="1" x14ac:dyDescent="0.35">
      <c r="A21" s="5">
        <f t="shared" si="0"/>
        <v>20</v>
      </c>
      <c r="B21" s="10" t="s">
        <v>23</v>
      </c>
      <c r="C21" s="13">
        <v>0.76388888888888884</v>
      </c>
      <c r="D21" s="14">
        <v>0.77083333333333337</v>
      </c>
      <c r="E21" s="8">
        <f t="shared" si="1"/>
        <v>6.9444444444445308E-3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0.13472222222222235</v>
      </c>
      <c r="F22" s="19"/>
    </row>
    <row r="24" spans="1:6" x14ac:dyDescent="0.3">
      <c r="C24" t="s">
        <v>96</v>
      </c>
      <c r="D24" t="s">
        <v>97</v>
      </c>
    </row>
    <row r="25" spans="1:6" x14ac:dyDescent="0.3">
      <c r="C25" t="s">
        <v>98</v>
      </c>
      <c r="D25" t="s">
        <v>99</v>
      </c>
    </row>
    <row r="26" spans="1:6" x14ac:dyDescent="0.3">
      <c r="B26" t="s">
        <v>100</v>
      </c>
    </row>
    <row r="27" spans="1:6" x14ac:dyDescent="0.3">
      <c r="B27" t="s">
        <v>101</v>
      </c>
    </row>
  </sheetData>
  <conditionalFormatting sqref="F2:F21">
    <cfRule type="expression" dxfId="25" priority="1">
      <formula>SEARCH("In-Progress", F2)</formula>
    </cfRule>
    <cfRule type="expression" dxfId="24" priority="2">
      <formula>SEARCH("Incomplete", F2)</formula>
    </cfRule>
    <cfRule type="expression" dxfId="23" priority="3">
      <formula>SEARCH("Completed", F2)</formula>
    </cfRule>
  </conditionalFormatting>
  <dataValidations count="1">
    <dataValidation type="list" allowBlank="1" showInputMessage="1" showErrorMessage="1" sqref="F2:F21" xr:uid="{00000000-0002-0000-0A00-000000000000}">
      <formula1>"Completed, Incomplete, In-Progress"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workbookViewId="0">
      <selection activeCell="B2" sqref="B2:B5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0.40833333333333333</v>
      </c>
      <c r="D2" s="8">
        <v>0.40972222222222221</v>
      </c>
      <c r="E2" s="8">
        <f t="shared" ref="E2:E21" si="1">D2-C2</f>
        <v>1.388888888888884E-3</v>
      </c>
      <c r="F2" s="9" t="s">
        <v>8</v>
      </c>
    </row>
    <row r="3" spans="1:6" x14ac:dyDescent="0.3">
      <c r="A3" s="5">
        <f t="shared" si="0"/>
        <v>2</v>
      </c>
      <c r="B3" s="21" t="s">
        <v>24</v>
      </c>
      <c r="C3" s="11">
        <v>0.40972222222222221</v>
      </c>
      <c r="D3" s="8">
        <v>0.41319444444444442</v>
      </c>
      <c r="E3" s="8">
        <f t="shared" si="1"/>
        <v>3.4722222222222099E-3</v>
      </c>
      <c r="F3" s="9" t="s">
        <v>8</v>
      </c>
    </row>
    <row r="4" spans="1:6" x14ac:dyDescent="0.3">
      <c r="A4" s="5">
        <f t="shared" si="0"/>
        <v>3</v>
      </c>
      <c r="B4" s="10" t="s">
        <v>9</v>
      </c>
      <c r="C4" s="11">
        <v>0.41319444444444442</v>
      </c>
      <c r="D4" s="8">
        <v>0.41666666666666669</v>
      </c>
      <c r="E4" s="8">
        <f t="shared" si="1"/>
        <v>3.4722222222222654E-3</v>
      </c>
      <c r="F4" s="9" t="s">
        <v>8</v>
      </c>
    </row>
    <row r="5" spans="1:6" x14ac:dyDescent="0.3">
      <c r="A5" s="5">
        <f t="shared" si="0"/>
        <v>4</v>
      </c>
      <c r="B5" s="10" t="s">
        <v>11</v>
      </c>
      <c r="C5" s="11">
        <v>0.41666666666666669</v>
      </c>
      <c r="D5" s="8">
        <v>0.44513888888888892</v>
      </c>
      <c r="E5" s="8">
        <f t="shared" si="1"/>
        <v>2.8472222222222232E-2</v>
      </c>
      <c r="F5" s="9"/>
    </row>
    <row r="6" spans="1:6" ht="28.8" customHeight="1" x14ac:dyDescent="0.3">
      <c r="A6" s="5">
        <f t="shared" si="0"/>
        <v>5</v>
      </c>
      <c r="B6" s="10" t="s">
        <v>102</v>
      </c>
      <c r="C6" s="11"/>
      <c r="D6" s="8"/>
      <c r="E6" s="8">
        <f t="shared" si="1"/>
        <v>0</v>
      </c>
      <c r="F6" s="9"/>
    </row>
    <row r="7" spans="1:6" ht="57.6" customHeight="1" x14ac:dyDescent="0.3">
      <c r="A7" s="5">
        <f t="shared" si="0"/>
        <v>6</v>
      </c>
      <c r="B7" s="10" t="s">
        <v>103</v>
      </c>
      <c r="C7" s="11"/>
      <c r="D7" s="8"/>
      <c r="E7" s="8">
        <f t="shared" si="1"/>
        <v>0</v>
      </c>
      <c r="F7" s="9"/>
    </row>
    <row r="8" spans="1:6" x14ac:dyDescent="0.3">
      <c r="A8" s="5">
        <f t="shared" si="0"/>
        <v>7</v>
      </c>
      <c r="B8" s="10"/>
      <c r="C8" s="11"/>
      <c r="D8" s="8"/>
      <c r="E8" s="11">
        <f t="shared" si="1"/>
        <v>0</v>
      </c>
      <c r="F8" s="9"/>
    </row>
    <row r="9" spans="1:6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6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 t="s">
        <v>104</v>
      </c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 t="s">
        <v>105</v>
      </c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69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 t="s">
        <v>71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 t="s">
        <v>33</v>
      </c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 t="s">
        <v>23</v>
      </c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3.6805555555555591E-2</v>
      </c>
      <c r="F22" s="19"/>
    </row>
  </sheetData>
  <conditionalFormatting sqref="F2:F21">
    <cfRule type="expression" dxfId="22" priority="1">
      <formula>SEARCH("In-Progress", F2)</formula>
    </cfRule>
    <cfRule type="expression" dxfId="21" priority="2">
      <formula>SEARCH("Incomplete", F2)</formula>
    </cfRule>
    <cfRule type="expression" dxfId="20" priority="3">
      <formula>SEARCH("Completed", F2)</formula>
    </cfRule>
  </conditionalFormatting>
  <dataValidations count="1">
    <dataValidation type="list" allowBlank="1" showInputMessage="1" showErrorMessage="1" sqref="F2:F21" xr:uid="{00000000-0002-0000-0B00-000000000000}">
      <formula1>"Completed, Incomplete, In-Progress"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0"/>
  <sheetViews>
    <sheetView workbookViewId="0">
      <selection activeCell="B2" sqref="B2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0.41249999999999998</v>
      </c>
      <c r="D2" s="8">
        <v>0.41666666666666669</v>
      </c>
      <c r="E2" s="8">
        <f t="shared" ref="E2:E21" si="1">D2-C2</f>
        <v>4.1666666666667074E-3</v>
      </c>
      <c r="F2" s="9" t="s">
        <v>8</v>
      </c>
    </row>
    <row r="3" spans="1:6" x14ac:dyDescent="0.3">
      <c r="A3" s="5">
        <f t="shared" si="0"/>
        <v>2</v>
      </c>
      <c r="B3" s="21" t="s">
        <v>24</v>
      </c>
      <c r="C3" s="11">
        <v>0.41666666666666669</v>
      </c>
      <c r="D3" s="8">
        <v>0.4236111111111111</v>
      </c>
      <c r="E3" s="8">
        <f t="shared" si="1"/>
        <v>6.9444444444444198E-3</v>
      </c>
      <c r="F3" s="9" t="s">
        <v>8</v>
      </c>
    </row>
    <row r="4" spans="1:6" x14ac:dyDescent="0.3">
      <c r="A4" s="5">
        <f t="shared" si="0"/>
        <v>3</v>
      </c>
      <c r="B4" s="10" t="s">
        <v>9</v>
      </c>
      <c r="C4" s="11">
        <v>0.4236111111111111</v>
      </c>
      <c r="D4" s="8">
        <v>0.4375</v>
      </c>
      <c r="E4" s="8">
        <f t="shared" si="1"/>
        <v>1.3888888888888895E-2</v>
      </c>
      <c r="F4" s="9" t="s">
        <v>8</v>
      </c>
    </row>
    <row r="5" spans="1:6" x14ac:dyDescent="0.3">
      <c r="A5" s="5">
        <f t="shared" si="0"/>
        <v>4</v>
      </c>
      <c r="B5" s="10" t="s">
        <v>106</v>
      </c>
      <c r="C5" s="11">
        <v>0.4375</v>
      </c>
      <c r="D5" s="8">
        <v>0.44444444444444442</v>
      </c>
      <c r="E5" s="8">
        <f t="shared" si="1"/>
        <v>6.9444444444444198E-3</v>
      </c>
      <c r="F5" s="9" t="s">
        <v>8</v>
      </c>
    </row>
    <row r="6" spans="1:6" x14ac:dyDescent="0.3">
      <c r="A6" s="5">
        <f t="shared" si="0"/>
        <v>5</v>
      </c>
      <c r="B6" s="10" t="s">
        <v>107</v>
      </c>
      <c r="C6" s="11">
        <v>0.45833333333333331</v>
      </c>
      <c r="D6" s="8">
        <v>0.52083333333333337</v>
      </c>
      <c r="E6" s="8">
        <f t="shared" si="1"/>
        <v>6.2500000000000056E-2</v>
      </c>
      <c r="F6" s="9" t="s">
        <v>8</v>
      </c>
    </row>
    <row r="7" spans="1:6" x14ac:dyDescent="0.3">
      <c r="A7" s="5">
        <f t="shared" si="0"/>
        <v>6</v>
      </c>
      <c r="B7" s="10" t="s">
        <v>34</v>
      </c>
      <c r="C7" s="11">
        <v>0.52083333333333337</v>
      </c>
      <c r="D7" s="8">
        <v>0.5625</v>
      </c>
      <c r="E7" s="8">
        <f t="shared" si="1"/>
        <v>4.166666666666663E-2</v>
      </c>
      <c r="F7" s="9" t="s">
        <v>8</v>
      </c>
    </row>
    <row r="8" spans="1:6" ht="28.8" customHeight="1" x14ac:dyDescent="0.3">
      <c r="A8" s="5">
        <f t="shared" si="0"/>
        <v>7</v>
      </c>
      <c r="B8" s="10" t="s">
        <v>108</v>
      </c>
      <c r="C8" s="11"/>
      <c r="D8" s="8"/>
      <c r="E8" s="11">
        <f t="shared" si="1"/>
        <v>0</v>
      </c>
      <c r="F8" s="9"/>
    </row>
    <row r="9" spans="1:6" x14ac:dyDescent="0.3">
      <c r="A9" s="5">
        <f t="shared" si="0"/>
        <v>8</v>
      </c>
      <c r="B9" s="10" t="s">
        <v>109</v>
      </c>
      <c r="C9" s="11"/>
      <c r="D9" s="8"/>
      <c r="E9" s="8">
        <f t="shared" si="1"/>
        <v>0</v>
      </c>
      <c r="F9" s="9"/>
    </row>
    <row r="10" spans="1:6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69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 t="s">
        <v>71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 t="s">
        <v>33</v>
      </c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 t="s">
        <v>23</v>
      </c>
      <c r="C21" s="13"/>
      <c r="D21" s="14">
        <v>0.77500000000000002</v>
      </c>
      <c r="E21" s="8">
        <f t="shared" si="1"/>
        <v>0.77500000000000002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0.9111111111111112</v>
      </c>
      <c r="F22" s="19"/>
    </row>
    <row r="25" spans="1:6" x14ac:dyDescent="0.3">
      <c r="B25" s="58"/>
    </row>
    <row r="28" spans="1:6" x14ac:dyDescent="0.3">
      <c r="D28" s="57"/>
    </row>
    <row r="29" spans="1:6" x14ac:dyDescent="0.3">
      <c r="D29" s="25"/>
    </row>
    <row r="30" spans="1:6" x14ac:dyDescent="0.3">
      <c r="D30" s="25"/>
    </row>
  </sheetData>
  <conditionalFormatting sqref="F2:F21">
    <cfRule type="expression" dxfId="19" priority="1">
      <formula>SEARCH("In-Progress", F2)</formula>
    </cfRule>
    <cfRule type="expression" dxfId="18" priority="2">
      <formula>SEARCH("Incomplete", F2)</formula>
    </cfRule>
    <cfRule type="expression" dxfId="17" priority="3">
      <formula>SEARCH("Completed", F2)</formula>
    </cfRule>
  </conditionalFormatting>
  <dataValidations count="1">
    <dataValidation type="list" allowBlank="1" showInputMessage="1" showErrorMessage="1" sqref="F2:F21" xr:uid="{00000000-0002-0000-0C00-000000000000}">
      <formula1>"Completed, Incomplete, In-Progress"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"/>
  <sheetViews>
    <sheetView workbookViewId="0">
      <selection activeCell="B2" sqref="B2:B4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0.39583333333333331</v>
      </c>
      <c r="D2" s="8">
        <v>0.40625</v>
      </c>
      <c r="E2" s="8">
        <f t="shared" ref="E2:E21" si="1">D2-C2</f>
        <v>1.0416666666666685E-2</v>
      </c>
      <c r="F2" s="9" t="s">
        <v>8</v>
      </c>
    </row>
    <row r="3" spans="1:6" x14ac:dyDescent="0.3">
      <c r="A3" s="5">
        <f t="shared" si="0"/>
        <v>2</v>
      </c>
      <c r="B3" s="10" t="s">
        <v>9</v>
      </c>
      <c r="C3" s="11">
        <v>0.40625</v>
      </c>
      <c r="D3" s="8">
        <v>0.41319444444444442</v>
      </c>
      <c r="E3" s="8">
        <f t="shared" si="1"/>
        <v>6.9444444444444198E-3</v>
      </c>
      <c r="F3" s="9" t="s">
        <v>8</v>
      </c>
    </row>
    <row r="4" spans="1:6" x14ac:dyDescent="0.3">
      <c r="A4" s="5">
        <f t="shared" si="0"/>
        <v>3</v>
      </c>
      <c r="B4" s="21" t="s">
        <v>24</v>
      </c>
      <c r="C4" s="11">
        <v>0.41319444444444442</v>
      </c>
      <c r="D4" s="8">
        <v>0.41666666666666669</v>
      </c>
      <c r="E4" s="8">
        <f t="shared" si="1"/>
        <v>3.4722222222222654E-3</v>
      </c>
      <c r="F4" s="9" t="s">
        <v>8</v>
      </c>
    </row>
    <row r="5" spans="1:6" ht="28.8" customHeight="1" x14ac:dyDescent="0.3">
      <c r="A5" s="5">
        <f t="shared" si="0"/>
        <v>4</v>
      </c>
      <c r="B5" s="10" t="s">
        <v>110</v>
      </c>
      <c r="C5" s="11">
        <v>0.41666666666666669</v>
      </c>
      <c r="D5" s="8">
        <v>0.42708333333333331</v>
      </c>
      <c r="E5" s="8">
        <f t="shared" si="1"/>
        <v>1.041666666666663E-2</v>
      </c>
      <c r="F5" s="9" t="s">
        <v>8</v>
      </c>
    </row>
    <row r="6" spans="1:6" ht="28.8" customHeight="1" x14ac:dyDescent="0.3">
      <c r="A6" s="5">
        <f t="shared" si="0"/>
        <v>5</v>
      </c>
      <c r="B6" s="10" t="s">
        <v>111</v>
      </c>
      <c r="C6" s="11">
        <v>0.42708333333333331</v>
      </c>
      <c r="D6" s="8">
        <v>0.43402777777777779</v>
      </c>
      <c r="E6" s="8">
        <f t="shared" si="1"/>
        <v>6.9444444444444753E-3</v>
      </c>
      <c r="F6" s="9" t="s">
        <v>8</v>
      </c>
    </row>
    <row r="7" spans="1:6" ht="28.8" customHeight="1" x14ac:dyDescent="0.3">
      <c r="A7" s="5">
        <f t="shared" si="0"/>
        <v>6</v>
      </c>
      <c r="B7" s="10" t="s">
        <v>112</v>
      </c>
      <c r="C7" s="11"/>
      <c r="D7" s="8"/>
      <c r="E7" s="8">
        <f t="shared" si="1"/>
        <v>0</v>
      </c>
      <c r="F7" s="9" t="s">
        <v>8</v>
      </c>
    </row>
    <row r="8" spans="1:6" x14ac:dyDescent="0.3">
      <c r="A8" s="5">
        <f t="shared" si="0"/>
        <v>7</v>
      </c>
      <c r="B8" s="10" t="s">
        <v>113</v>
      </c>
      <c r="C8" s="11"/>
      <c r="D8" s="8"/>
      <c r="E8" s="11">
        <f t="shared" si="1"/>
        <v>0</v>
      </c>
      <c r="F8" s="9" t="s">
        <v>8</v>
      </c>
    </row>
    <row r="9" spans="1:6" ht="28.8" customHeight="1" x14ac:dyDescent="0.3">
      <c r="A9" s="5">
        <f t="shared" si="0"/>
        <v>8</v>
      </c>
      <c r="B9" s="10" t="s">
        <v>114</v>
      </c>
      <c r="C9" s="11">
        <v>0.58888888888888891</v>
      </c>
      <c r="D9" s="8"/>
      <c r="E9" s="8">
        <f t="shared" si="1"/>
        <v>-0.58888888888888891</v>
      </c>
      <c r="F9" s="9"/>
    </row>
    <row r="10" spans="1:6" x14ac:dyDescent="0.3">
      <c r="A10" s="5">
        <f t="shared" si="0"/>
        <v>9</v>
      </c>
      <c r="B10" s="10" t="s">
        <v>115</v>
      </c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69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 t="s">
        <v>71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 t="s">
        <v>33</v>
      </c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 t="s">
        <v>23</v>
      </c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-0.55069444444444438</v>
      </c>
      <c r="F22" s="19"/>
    </row>
  </sheetData>
  <conditionalFormatting sqref="F2:F21">
    <cfRule type="expression" dxfId="16" priority="1">
      <formula>SEARCH("In-Progress", F2)</formula>
    </cfRule>
    <cfRule type="expression" dxfId="15" priority="2">
      <formula>SEARCH("Incomplete", F2)</formula>
    </cfRule>
    <cfRule type="expression" dxfId="14" priority="3">
      <formula>SEARCH("Completed", F2)</formula>
    </cfRule>
  </conditionalFormatting>
  <dataValidations count="1">
    <dataValidation type="list" allowBlank="1" showInputMessage="1" showErrorMessage="1" sqref="F2:F21" xr:uid="{00000000-0002-0000-0D00-000000000000}">
      <formula1>"Completed, Incomplete, In-Progress"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0"/>
  <sheetViews>
    <sheetView workbookViewId="0">
      <selection activeCell="B6" sqref="B6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0.42708333333333331</v>
      </c>
      <c r="D2" s="8">
        <v>0.43333333333333329</v>
      </c>
      <c r="E2" s="8">
        <f t="shared" ref="E2:E21" si="1">D2-C2</f>
        <v>6.2499999999999778E-3</v>
      </c>
      <c r="F2" s="9" t="s">
        <v>8</v>
      </c>
    </row>
    <row r="3" spans="1:6" x14ac:dyDescent="0.3">
      <c r="A3" s="5">
        <f t="shared" si="0"/>
        <v>2</v>
      </c>
      <c r="B3" s="10" t="s">
        <v>9</v>
      </c>
      <c r="C3" s="11">
        <v>0.43333333333333329</v>
      </c>
      <c r="D3" s="8">
        <v>0.43958333333333333</v>
      </c>
      <c r="E3" s="8">
        <f t="shared" si="1"/>
        <v>6.2500000000000333E-3</v>
      </c>
      <c r="F3" s="9" t="s">
        <v>8</v>
      </c>
    </row>
    <row r="4" spans="1:6" x14ac:dyDescent="0.3">
      <c r="A4" s="5">
        <f t="shared" si="0"/>
        <v>3</v>
      </c>
      <c r="B4" s="21" t="s">
        <v>24</v>
      </c>
      <c r="C4" s="11">
        <v>0.43958333333333333</v>
      </c>
      <c r="D4" s="8">
        <v>0.44027777777777782</v>
      </c>
      <c r="E4" s="8">
        <f t="shared" si="1"/>
        <v>6.9444444444449749E-4</v>
      </c>
      <c r="F4" s="9" t="s">
        <v>8</v>
      </c>
    </row>
    <row r="5" spans="1:6" x14ac:dyDescent="0.3">
      <c r="A5" s="5">
        <f t="shared" si="0"/>
        <v>4</v>
      </c>
      <c r="B5" s="10" t="s">
        <v>11</v>
      </c>
      <c r="C5" s="11">
        <v>0.41666666666666669</v>
      </c>
      <c r="D5" s="8">
        <v>0.45833333333333331</v>
      </c>
      <c r="E5" s="8">
        <f t="shared" si="1"/>
        <v>4.166666666666663E-2</v>
      </c>
      <c r="F5" s="9" t="s">
        <v>8</v>
      </c>
    </row>
    <row r="6" spans="1:6" x14ac:dyDescent="0.3">
      <c r="A6" s="5">
        <f t="shared" si="0"/>
        <v>5</v>
      </c>
      <c r="B6" s="10"/>
      <c r="C6" s="11"/>
      <c r="D6" s="8"/>
      <c r="E6" s="8">
        <f t="shared" si="1"/>
        <v>0</v>
      </c>
      <c r="F6" s="9"/>
    </row>
    <row r="7" spans="1:6" ht="28.8" customHeight="1" x14ac:dyDescent="0.3">
      <c r="A7" s="5">
        <f t="shared" si="0"/>
        <v>6</v>
      </c>
      <c r="B7" s="10" t="s">
        <v>111</v>
      </c>
      <c r="C7" s="11">
        <v>0.46527777777777779</v>
      </c>
      <c r="D7" s="8"/>
      <c r="E7" s="8">
        <f t="shared" si="1"/>
        <v>-0.46527777777777779</v>
      </c>
      <c r="F7" s="9" t="s">
        <v>13</v>
      </c>
    </row>
    <row r="8" spans="1:6" x14ac:dyDescent="0.3">
      <c r="A8" s="5">
        <f t="shared" si="0"/>
        <v>7</v>
      </c>
      <c r="B8" s="10" t="s">
        <v>116</v>
      </c>
      <c r="C8" s="11">
        <v>0.47222222222222221</v>
      </c>
      <c r="D8" s="8">
        <v>0.5</v>
      </c>
      <c r="E8" s="11">
        <f t="shared" si="1"/>
        <v>2.777777777777779E-2</v>
      </c>
      <c r="F8" s="9" t="s">
        <v>8</v>
      </c>
    </row>
    <row r="9" spans="1:6" x14ac:dyDescent="0.3">
      <c r="A9" s="5">
        <f t="shared" si="0"/>
        <v>8</v>
      </c>
      <c r="B9" s="10" t="s">
        <v>117</v>
      </c>
      <c r="C9" s="11">
        <v>0.51388888888888884</v>
      </c>
      <c r="D9" s="8">
        <v>0.54166666666666663</v>
      </c>
      <c r="E9" s="8">
        <f t="shared" si="1"/>
        <v>2.777777777777779E-2</v>
      </c>
      <c r="F9" s="9" t="s">
        <v>8</v>
      </c>
    </row>
    <row r="10" spans="1:6" x14ac:dyDescent="0.3">
      <c r="A10" s="5">
        <f t="shared" si="0"/>
        <v>9</v>
      </c>
      <c r="B10" s="10" t="s">
        <v>118</v>
      </c>
      <c r="C10" s="11">
        <v>0.58333333333333337</v>
      </c>
      <c r="D10" s="8">
        <v>0.61458333333333337</v>
      </c>
      <c r="E10" s="8">
        <f t="shared" si="1"/>
        <v>3.125E-2</v>
      </c>
      <c r="F10" s="9" t="s">
        <v>8</v>
      </c>
    </row>
    <row r="11" spans="1:6" x14ac:dyDescent="0.3">
      <c r="A11" s="5">
        <f t="shared" si="0"/>
        <v>10</v>
      </c>
      <c r="B11" s="10" t="s">
        <v>119</v>
      </c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69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 t="s">
        <v>71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 t="s">
        <v>33</v>
      </c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 t="s">
        <v>23</v>
      </c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-0.32361111111111107</v>
      </c>
      <c r="F22" s="19"/>
    </row>
    <row r="28" spans="1:6" x14ac:dyDescent="0.3">
      <c r="D28" s="57"/>
    </row>
    <row r="29" spans="1:6" x14ac:dyDescent="0.3">
      <c r="D29" s="25"/>
    </row>
    <row r="30" spans="1:6" x14ac:dyDescent="0.3">
      <c r="D30" s="25"/>
    </row>
  </sheetData>
  <conditionalFormatting sqref="F2:F21">
    <cfRule type="expression" dxfId="13" priority="1">
      <formula>SEARCH("In-Progress", F2)</formula>
    </cfRule>
    <cfRule type="expression" dxfId="12" priority="2">
      <formula>SEARCH("Incomplete", F2)</formula>
    </cfRule>
    <cfRule type="expression" dxfId="11" priority="3">
      <formula>SEARCH("Completed", F2)</formula>
    </cfRule>
  </conditionalFormatting>
  <dataValidations count="1">
    <dataValidation type="list" allowBlank="1" showInputMessage="1" showErrorMessage="1" sqref="F2:F21" xr:uid="{00000000-0002-0000-0E00-000000000000}">
      <formula1>"Completed, Incomplete, In-Progress"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workbookViewId="0">
      <selection activeCell="F20" sqref="F20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0.50694444444444442</v>
      </c>
      <c r="D2" s="8">
        <v>0.51736111111111116</v>
      </c>
      <c r="E2" s="8">
        <f t="shared" ref="E2:E21" si="1">D2-C2</f>
        <v>1.0416666666666741E-2</v>
      </c>
      <c r="F2" s="9" t="s">
        <v>8</v>
      </c>
    </row>
    <row r="3" spans="1:6" x14ac:dyDescent="0.3">
      <c r="A3" s="5">
        <f t="shared" si="0"/>
        <v>2</v>
      </c>
      <c r="B3" s="10" t="s">
        <v>9</v>
      </c>
      <c r="C3" s="11">
        <v>0.51736111111111116</v>
      </c>
      <c r="D3" s="8">
        <v>0.52083333333333337</v>
      </c>
      <c r="E3" s="8">
        <f t="shared" si="1"/>
        <v>3.4722222222222099E-3</v>
      </c>
      <c r="F3" s="9" t="s">
        <v>8</v>
      </c>
    </row>
    <row r="4" spans="1:6" x14ac:dyDescent="0.3">
      <c r="A4" s="5">
        <f t="shared" si="0"/>
        <v>3</v>
      </c>
      <c r="B4" s="21" t="s">
        <v>24</v>
      </c>
      <c r="C4" s="11">
        <v>0.52083333333333337</v>
      </c>
      <c r="D4" s="8">
        <v>0.52708333333333335</v>
      </c>
      <c r="E4" s="8">
        <f t="shared" si="1"/>
        <v>6.2499999999999778E-3</v>
      </c>
      <c r="F4" s="9" t="s">
        <v>8</v>
      </c>
    </row>
    <row r="5" spans="1:6" x14ac:dyDescent="0.3">
      <c r="A5" s="5">
        <f t="shared" si="0"/>
        <v>4</v>
      </c>
      <c r="B5" s="10" t="s">
        <v>120</v>
      </c>
      <c r="C5" s="11">
        <v>0.53125</v>
      </c>
      <c r="D5" s="8">
        <v>0.54166666666666663</v>
      </c>
      <c r="E5" s="8">
        <f t="shared" si="1"/>
        <v>1.041666666666663E-2</v>
      </c>
      <c r="F5" s="9" t="s">
        <v>8</v>
      </c>
    </row>
    <row r="6" spans="1:6" x14ac:dyDescent="0.3">
      <c r="A6" s="5">
        <f t="shared" si="0"/>
        <v>5</v>
      </c>
      <c r="B6" s="10" t="s">
        <v>121</v>
      </c>
      <c r="C6" s="11">
        <v>0.54166666666666663</v>
      </c>
      <c r="D6" s="8">
        <v>0.55208333333333337</v>
      </c>
      <c r="E6" s="8">
        <f t="shared" si="1"/>
        <v>1.0416666666666741E-2</v>
      </c>
      <c r="F6" s="9" t="s">
        <v>8</v>
      </c>
    </row>
    <row r="7" spans="1:6" x14ac:dyDescent="0.3">
      <c r="A7" s="5">
        <f t="shared" si="0"/>
        <v>6</v>
      </c>
      <c r="B7" s="10" t="s">
        <v>122</v>
      </c>
      <c r="C7" s="11"/>
      <c r="D7" s="8"/>
      <c r="E7" s="8">
        <f t="shared" si="1"/>
        <v>0</v>
      </c>
      <c r="F7" s="9"/>
    </row>
    <row r="8" spans="1:6" x14ac:dyDescent="0.3">
      <c r="A8" s="5">
        <f t="shared" si="0"/>
        <v>7</v>
      </c>
      <c r="B8" s="10"/>
      <c r="C8" s="11"/>
      <c r="D8" s="8"/>
      <c r="E8" s="11">
        <f t="shared" si="1"/>
        <v>0</v>
      </c>
      <c r="F8" s="9"/>
    </row>
    <row r="9" spans="1:6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6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69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10" t="s">
        <v>71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10" t="s">
        <v>33</v>
      </c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10" t="s">
        <v>23</v>
      </c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4.0972222222222299E-2</v>
      </c>
      <c r="F22" s="19"/>
    </row>
  </sheetData>
  <conditionalFormatting sqref="F2:F21">
    <cfRule type="expression" dxfId="10" priority="1">
      <formula>SEARCH("In-Progress", F2)</formula>
    </cfRule>
    <cfRule type="expression" dxfId="9" priority="2">
      <formula>SEARCH("Incomplete", F2)</formula>
    </cfRule>
    <cfRule type="expression" dxfId="8" priority="3">
      <formula>SEARCH("Completed", F2)</formula>
    </cfRule>
  </conditionalFormatting>
  <dataValidations count="1">
    <dataValidation type="list" allowBlank="1" showInputMessage="1" showErrorMessage="1" sqref="F2:F21" xr:uid="{00000000-0002-0000-0F00-000000000000}">
      <formula1>"Completed, Incomplete, In-Progress"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topLeftCell="A2" workbookViewId="0">
      <selection activeCell="F17" sqref="F17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>
        <v>0.40416666666666667</v>
      </c>
      <c r="D2" s="8">
        <v>0.41319444444444442</v>
      </c>
      <c r="E2" s="8">
        <f t="shared" ref="E2:E21" si="1">D2-C2</f>
        <v>9.0277777777777457E-3</v>
      </c>
      <c r="F2" s="9" t="s">
        <v>8</v>
      </c>
    </row>
    <row r="3" spans="1:6" x14ac:dyDescent="0.3">
      <c r="A3" s="5">
        <f t="shared" si="0"/>
        <v>2</v>
      </c>
      <c r="B3" s="10" t="s">
        <v>9</v>
      </c>
      <c r="C3" s="11">
        <v>0.41319444444444442</v>
      </c>
      <c r="D3" s="8">
        <v>0.4201388888888889</v>
      </c>
      <c r="E3" s="8">
        <f t="shared" si="1"/>
        <v>6.9444444444444753E-3</v>
      </c>
      <c r="F3" s="9" t="s">
        <v>8</v>
      </c>
    </row>
    <row r="4" spans="1:6" x14ac:dyDescent="0.3">
      <c r="A4" s="5">
        <f t="shared" si="0"/>
        <v>3</v>
      </c>
      <c r="B4" s="21" t="s">
        <v>24</v>
      </c>
      <c r="C4" s="11">
        <v>0.4201388888888889</v>
      </c>
      <c r="D4" s="8">
        <v>0.4236111111111111</v>
      </c>
      <c r="E4" s="8">
        <f t="shared" si="1"/>
        <v>3.4722222222222099E-3</v>
      </c>
      <c r="F4" s="9" t="s">
        <v>8</v>
      </c>
    </row>
    <row r="5" spans="1:6" x14ac:dyDescent="0.3">
      <c r="A5" s="5">
        <f t="shared" si="0"/>
        <v>4</v>
      </c>
      <c r="B5" s="10" t="s">
        <v>11</v>
      </c>
      <c r="C5" s="11">
        <v>0.4236111111111111</v>
      </c>
      <c r="D5" s="8">
        <v>0.48958333333333331</v>
      </c>
      <c r="E5" s="8">
        <f t="shared" si="1"/>
        <v>6.597222222222221E-2</v>
      </c>
      <c r="F5" s="9" t="s">
        <v>8</v>
      </c>
    </row>
    <row r="6" spans="1:6" ht="28.8" customHeight="1" x14ac:dyDescent="0.3">
      <c r="A6" s="5">
        <f t="shared" si="0"/>
        <v>5</v>
      </c>
      <c r="B6" s="10" t="s">
        <v>123</v>
      </c>
      <c r="C6" s="11"/>
      <c r="D6" s="8"/>
      <c r="E6" s="8">
        <f t="shared" si="1"/>
        <v>0</v>
      </c>
      <c r="F6" s="9" t="s">
        <v>13</v>
      </c>
    </row>
    <row r="7" spans="1:6" x14ac:dyDescent="0.3">
      <c r="A7" s="5">
        <f t="shared" si="0"/>
        <v>6</v>
      </c>
      <c r="B7" s="10"/>
      <c r="C7" s="11"/>
      <c r="D7" s="8"/>
      <c r="E7" s="8">
        <f t="shared" si="1"/>
        <v>0</v>
      </c>
      <c r="F7" s="9"/>
    </row>
    <row r="8" spans="1:6" x14ac:dyDescent="0.3">
      <c r="A8" s="5">
        <f t="shared" si="0"/>
        <v>7</v>
      </c>
      <c r="B8" s="10"/>
      <c r="C8" s="11"/>
      <c r="D8" s="8"/>
      <c r="E8" s="11">
        <f t="shared" si="1"/>
        <v>0</v>
      </c>
      <c r="F8" s="9"/>
    </row>
    <row r="9" spans="1:6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6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10" t="s">
        <v>69</v>
      </c>
      <c r="C18" s="11"/>
      <c r="D18" s="12"/>
      <c r="E18" s="8">
        <f t="shared" si="1"/>
        <v>0</v>
      </c>
      <c r="F18" s="9" t="s">
        <v>8</v>
      </c>
    </row>
    <row r="19" spans="1:6" x14ac:dyDescent="0.3">
      <c r="A19" s="5">
        <f t="shared" si="0"/>
        <v>18</v>
      </c>
      <c r="B19" s="10" t="s">
        <v>71</v>
      </c>
      <c r="C19" s="11"/>
      <c r="D19" s="12"/>
      <c r="E19" s="8">
        <f t="shared" si="1"/>
        <v>0</v>
      </c>
      <c r="F19" s="9" t="s">
        <v>8</v>
      </c>
    </row>
    <row r="20" spans="1:6" x14ac:dyDescent="0.3">
      <c r="A20" s="5">
        <f t="shared" si="0"/>
        <v>19</v>
      </c>
      <c r="B20" s="10" t="s">
        <v>33</v>
      </c>
      <c r="C20" s="11"/>
      <c r="D20" s="12"/>
      <c r="E20" s="8">
        <f t="shared" si="1"/>
        <v>0</v>
      </c>
      <c r="F20" s="9" t="s">
        <v>8</v>
      </c>
    </row>
    <row r="21" spans="1:6" ht="15" customHeight="1" thickBot="1" x14ac:dyDescent="0.35">
      <c r="A21" s="5">
        <f t="shared" si="0"/>
        <v>20</v>
      </c>
      <c r="B21" s="10" t="s">
        <v>23</v>
      </c>
      <c r="C21" s="13"/>
      <c r="D21" s="14"/>
      <c r="E21" s="8">
        <f t="shared" si="1"/>
        <v>0</v>
      </c>
      <c r="F21" s="9" t="s">
        <v>8</v>
      </c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8.5416666666666641E-2</v>
      </c>
      <c r="F22" s="19"/>
    </row>
  </sheetData>
  <conditionalFormatting sqref="F2:F21">
    <cfRule type="expression" dxfId="7" priority="1">
      <formula>SEARCH("In-Progress", F2)</formula>
    </cfRule>
    <cfRule type="expression" dxfId="6" priority="2">
      <formula>SEARCH("Incomplete", F2)</formula>
    </cfRule>
    <cfRule type="expression" dxfId="5" priority="3">
      <formula>SEARCH("Completed", F2)</formula>
    </cfRule>
  </conditionalFormatting>
  <dataValidations count="1">
    <dataValidation type="list" allowBlank="1" showInputMessage="1" showErrorMessage="1" sqref="F2:F21" xr:uid="{00000000-0002-0000-1000-000000000000}">
      <formula1>"Completed, Incomplete, In-Progress"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2"/>
  <sheetViews>
    <sheetView tabSelected="1" workbookViewId="0">
      <selection activeCell="B18" sqref="B18:B21"/>
    </sheetView>
  </sheetViews>
  <sheetFormatPr defaultRowHeight="14.4" x14ac:dyDescent="0.3"/>
  <cols>
    <col min="2" max="2" width="53.109375" customWidth="1"/>
    <col min="3" max="5" width="10.21875" customWidth="1"/>
    <col min="6" max="6" width="12.33203125" customWidth="1"/>
  </cols>
  <sheetData>
    <row r="1" spans="1:6" ht="15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</row>
    <row r="2" spans="1:6" x14ac:dyDescent="0.3">
      <c r="A2" s="5">
        <f t="shared" ref="A2:A21" si="0">ROW() - ROW($A$1)</f>
        <v>1</v>
      </c>
      <c r="B2" s="20" t="s">
        <v>7</v>
      </c>
      <c r="C2" s="7"/>
      <c r="D2" s="8"/>
      <c r="E2" s="8">
        <f t="shared" ref="E2:E21" si="1">D2-C2</f>
        <v>0</v>
      </c>
      <c r="F2" s="9"/>
    </row>
    <row r="3" spans="1:6" x14ac:dyDescent="0.3">
      <c r="A3" s="5">
        <f t="shared" si="0"/>
        <v>2</v>
      </c>
      <c r="B3" s="10" t="s">
        <v>9</v>
      </c>
      <c r="C3" s="11"/>
      <c r="D3" s="8"/>
      <c r="E3" s="8">
        <f t="shared" si="1"/>
        <v>0</v>
      </c>
      <c r="F3" s="9"/>
    </row>
    <row r="4" spans="1:6" x14ac:dyDescent="0.3">
      <c r="A4" s="5">
        <f t="shared" si="0"/>
        <v>3</v>
      </c>
      <c r="B4" s="21" t="s">
        <v>24</v>
      </c>
      <c r="C4" s="11"/>
      <c r="D4" s="8"/>
      <c r="E4" s="8">
        <f t="shared" si="1"/>
        <v>0</v>
      </c>
      <c r="F4" s="9"/>
    </row>
    <row r="5" spans="1:6" x14ac:dyDescent="0.3">
      <c r="A5" s="5">
        <f t="shared" si="0"/>
        <v>4</v>
      </c>
      <c r="B5" s="10" t="s">
        <v>11</v>
      </c>
      <c r="C5" s="11"/>
      <c r="D5" s="8"/>
      <c r="E5" s="8">
        <f t="shared" si="1"/>
        <v>0</v>
      </c>
      <c r="F5" s="9"/>
    </row>
    <row r="6" spans="1:6" x14ac:dyDescent="0.3">
      <c r="A6" s="5">
        <f t="shared" si="0"/>
        <v>5</v>
      </c>
      <c r="B6" s="10" t="s">
        <v>162</v>
      </c>
      <c r="C6" s="11"/>
      <c r="D6" s="8"/>
      <c r="E6" s="8">
        <f t="shared" si="1"/>
        <v>0</v>
      </c>
      <c r="F6" s="9"/>
    </row>
    <row r="7" spans="1:6" x14ac:dyDescent="0.3">
      <c r="A7" s="5">
        <f t="shared" si="0"/>
        <v>6</v>
      </c>
      <c r="B7" s="10" t="s">
        <v>161</v>
      </c>
      <c r="C7" s="11"/>
      <c r="D7" s="8"/>
      <c r="E7" s="8">
        <f t="shared" si="1"/>
        <v>0</v>
      </c>
      <c r="F7" s="9"/>
    </row>
    <row r="8" spans="1:6" ht="28.8" x14ac:dyDescent="0.3">
      <c r="A8" s="5">
        <f t="shared" si="0"/>
        <v>7</v>
      </c>
      <c r="B8" s="10" t="s">
        <v>163</v>
      </c>
      <c r="C8" s="11"/>
      <c r="D8" s="8"/>
      <c r="E8" s="11">
        <f t="shared" si="1"/>
        <v>0</v>
      </c>
      <c r="F8" s="9"/>
    </row>
    <row r="9" spans="1:6" x14ac:dyDescent="0.3">
      <c r="A9" s="5">
        <f t="shared" si="0"/>
        <v>8</v>
      </c>
      <c r="B9" s="10"/>
      <c r="C9" s="11"/>
      <c r="D9" s="8"/>
      <c r="E9" s="8">
        <f t="shared" si="1"/>
        <v>0</v>
      </c>
      <c r="F9" s="9"/>
    </row>
    <row r="10" spans="1:6" x14ac:dyDescent="0.3">
      <c r="A10" s="5">
        <f t="shared" si="0"/>
        <v>9</v>
      </c>
      <c r="B10" s="10"/>
      <c r="C10" s="11"/>
      <c r="D10" s="8"/>
      <c r="E10" s="8">
        <f t="shared" si="1"/>
        <v>0</v>
      </c>
      <c r="F10" s="9"/>
    </row>
    <row r="11" spans="1:6" x14ac:dyDescent="0.3">
      <c r="A11" s="5">
        <f t="shared" si="0"/>
        <v>10</v>
      </c>
      <c r="B11" s="10"/>
      <c r="C11" s="11"/>
      <c r="D11" s="12"/>
      <c r="E11" s="8">
        <f t="shared" si="1"/>
        <v>0</v>
      </c>
      <c r="F11" s="9"/>
    </row>
    <row r="12" spans="1:6" x14ac:dyDescent="0.3">
      <c r="A12" s="5">
        <f t="shared" si="0"/>
        <v>11</v>
      </c>
      <c r="B12" s="10"/>
      <c r="C12" s="11"/>
      <c r="D12" s="12"/>
      <c r="E12" s="8">
        <f t="shared" si="1"/>
        <v>0</v>
      </c>
      <c r="F12" s="9"/>
    </row>
    <row r="13" spans="1:6" x14ac:dyDescent="0.3">
      <c r="A13" s="5">
        <f t="shared" si="0"/>
        <v>12</v>
      </c>
      <c r="B13" s="10"/>
      <c r="C13" s="11"/>
      <c r="D13" s="12"/>
      <c r="E13" s="8">
        <f t="shared" si="1"/>
        <v>0</v>
      </c>
      <c r="F13" s="9"/>
    </row>
    <row r="14" spans="1:6" x14ac:dyDescent="0.3">
      <c r="A14" s="5">
        <f t="shared" si="0"/>
        <v>13</v>
      </c>
      <c r="B14" s="10"/>
      <c r="C14" s="11"/>
      <c r="D14" s="12"/>
      <c r="E14" s="8">
        <f t="shared" si="1"/>
        <v>0</v>
      </c>
      <c r="F14" s="9"/>
    </row>
    <row r="15" spans="1:6" x14ac:dyDescent="0.3">
      <c r="A15" s="5">
        <f t="shared" si="0"/>
        <v>14</v>
      </c>
      <c r="B15" s="10"/>
      <c r="C15" s="11"/>
      <c r="D15" s="12"/>
      <c r="E15" s="8">
        <f t="shared" si="1"/>
        <v>0</v>
      </c>
      <c r="F15" s="9"/>
    </row>
    <row r="16" spans="1:6" x14ac:dyDescent="0.3">
      <c r="A16" s="5">
        <f t="shared" si="0"/>
        <v>15</v>
      </c>
      <c r="B16" s="10"/>
      <c r="C16" s="11"/>
      <c r="D16" s="12"/>
      <c r="E16" s="8">
        <f t="shared" si="1"/>
        <v>0</v>
      </c>
      <c r="F16" s="9"/>
    </row>
    <row r="17" spans="1:6" x14ac:dyDescent="0.3">
      <c r="A17" s="5">
        <f t="shared" si="0"/>
        <v>16</v>
      </c>
      <c r="B17" s="10"/>
      <c r="C17" s="11"/>
      <c r="D17" s="12"/>
      <c r="E17" s="8">
        <f t="shared" si="1"/>
        <v>0</v>
      </c>
      <c r="F17" s="9"/>
    </row>
    <row r="18" spans="1:6" x14ac:dyDescent="0.3">
      <c r="A18" s="5">
        <f t="shared" si="0"/>
        <v>17</v>
      </c>
      <c r="B18" s="72" t="s">
        <v>69</v>
      </c>
      <c r="C18" s="11"/>
      <c r="D18" s="12"/>
      <c r="E18" s="8">
        <f t="shared" si="1"/>
        <v>0</v>
      </c>
      <c r="F18" s="9"/>
    </row>
    <row r="19" spans="1:6" x14ac:dyDescent="0.3">
      <c r="A19" s="5">
        <f t="shared" si="0"/>
        <v>18</v>
      </c>
      <c r="B19" s="72" t="s">
        <v>71</v>
      </c>
      <c r="C19" s="11"/>
      <c r="D19" s="12"/>
      <c r="E19" s="8">
        <f t="shared" si="1"/>
        <v>0</v>
      </c>
      <c r="F19" s="9"/>
    </row>
    <row r="20" spans="1:6" x14ac:dyDescent="0.3">
      <c r="A20" s="5">
        <f t="shared" si="0"/>
        <v>19</v>
      </c>
      <c r="B20" s="72" t="s">
        <v>33</v>
      </c>
      <c r="C20" s="11"/>
      <c r="D20" s="12"/>
      <c r="E20" s="8">
        <f t="shared" si="1"/>
        <v>0</v>
      </c>
      <c r="F20" s="9"/>
    </row>
    <row r="21" spans="1:6" ht="15" customHeight="1" thickBot="1" x14ac:dyDescent="0.35">
      <c r="A21" s="5">
        <f t="shared" si="0"/>
        <v>20</v>
      </c>
      <c r="B21" s="72" t="s">
        <v>23</v>
      </c>
      <c r="C21" s="13"/>
      <c r="D21" s="14"/>
      <c r="E21" s="8">
        <f t="shared" si="1"/>
        <v>0</v>
      </c>
      <c r="F21" s="9"/>
    </row>
    <row r="22" spans="1:6" ht="15" customHeight="1" thickBot="1" x14ac:dyDescent="0.35">
      <c r="A22" s="15"/>
      <c r="B22" s="16" t="s">
        <v>6</v>
      </c>
      <c r="C22" s="17"/>
      <c r="D22" s="17"/>
      <c r="E22" s="18">
        <f>SUM(E2:E21)</f>
        <v>0</v>
      </c>
      <c r="F22" s="19"/>
    </row>
  </sheetData>
  <conditionalFormatting sqref="F2:F21">
    <cfRule type="expression" dxfId="4" priority="1">
      <formula>SEARCH("In-Progress", F2)</formula>
    </cfRule>
    <cfRule type="expression" dxfId="3" priority="2">
      <formula>SEARCH("Incomplete", F2)</formula>
    </cfRule>
    <cfRule type="expression" dxfId="2" priority="3">
      <formula>SEARCH("Completed", F2)</formula>
    </cfRule>
  </conditionalFormatting>
  <dataValidations count="1">
    <dataValidation type="list" allowBlank="1" showInputMessage="1" showErrorMessage="1" sqref="F2:F21" xr:uid="{6B60F373-641C-4930-AA94-171B2B8C32A6}">
      <formula1>"Completed, Incomplete, In-Progress"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25"/>
  <sheetViews>
    <sheetView topLeftCell="A12" workbookViewId="0">
      <selection activeCell="A22" sqref="A22:C23"/>
    </sheetView>
  </sheetViews>
  <sheetFormatPr defaultColWidth="12.21875" defaultRowHeight="19.8" customHeight="1" x14ac:dyDescent="0.3"/>
  <cols>
    <col min="1" max="1" width="20" bestFit="1" customWidth="1"/>
    <col min="2" max="2" width="16.33203125" bestFit="1" customWidth="1"/>
    <col min="3" max="3" width="21.44140625" bestFit="1" customWidth="1"/>
    <col min="4" max="4" width="21.5546875" bestFit="1" customWidth="1"/>
    <col min="5" max="5" width="17.33203125" bestFit="1" customWidth="1"/>
    <col min="6" max="6" width="18.21875" bestFit="1" customWidth="1"/>
    <col min="11" max="19" width="3.88671875" customWidth="1"/>
  </cols>
  <sheetData>
    <row r="1" spans="1:23" ht="19.8" customHeight="1" x14ac:dyDescent="0.3">
      <c r="A1" s="35" t="s">
        <v>124</v>
      </c>
      <c r="B1" s="36" t="s">
        <v>125</v>
      </c>
      <c r="C1" s="36" t="s">
        <v>126</v>
      </c>
      <c r="D1" s="36" t="s">
        <v>127</v>
      </c>
      <c r="E1" s="36" t="s">
        <v>128</v>
      </c>
      <c r="F1" s="37" t="s">
        <v>129</v>
      </c>
      <c r="H1" s="40" t="s">
        <v>130</v>
      </c>
    </row>
    <row r="2" spans="1:23" ht="19.8" customHeight="1" thickBot="1" x14ac:dyDescent="0.35">
      <c r="A2" s="32">
        <v>0</v>
      </c>
      <c r="B2" s="33">
        <v>0</v>
      </c>
      <c r="C2" s="33">
        <v>0</v>
      </c>
      <c r="D2" s="33" t="s">
        <v>131</v>
      </c>
      <c r="E2" s="33" t="s">
        <v>131</v>
      </c>
      <c r="F2" s="34">
        <v>0</v>
      </c>
      <c r="H2" s="40" t="s">
        <v>132</v>
      </c>
      <c r="L2">
        <v>8</v>
      </c>
      <c r="M2">
        <v>4</v>
      </c>
      <c r="N2">
        <v>2</v>
      </c>
      <c r="O2">
        <v>1</v>
      </c>
      <c r="P2">
        <v>8</v>
      </c>
      <c r="Q2">
        <v>4</v>
      </c>
      <c r="R2">
        <v>2</v>
      </c>
      <c r="S2">
        <v>1</v>
      </c>
    </row>
    <row r="3" spans="1:23" ht="19.8" customHeight="1" x14ac:dyDescent="0.3">
      <c r="H3" s="40" t="s">
        <v>133</v>
      </c>
      <c r="L3">
        <v>7</v>
      </c>
      <c r="M3">
        <v>6</v>
      </c>
      <c r="N3">
        <v>5</v>
      </c>
      <c r="O3">
        <v>4</v>
      </c>
      <c r="P3">
        <v>3</v>
      </c>
      <c r="Q3">
        <v>2</v>
      </c>
      <c r="R3">
        <v>1</v>
      </c>
      <c r="S3">
        <v>0</v>
      </c>
    </row>
    <row r="4" spans="1:23" ht="19.8" customHeight="1" x14ac:dyDescent="0.3">
      <c r="H4" s="40" t="s">
        <v>134</v>
      </c>
      <c r="L4">
        <v>1</v>
      </c>
      <c r="M4">
        <v>1</v>
      </c>
      <c r="N4">
        <v>1</v>
      </c>
      <c r="O4">
        <v>1</v>
      </c>
      <c r="R4">
        <v>1</v>
      </c>
      <c r="S4">
        <v>1</v>
      </c>
      <c r="V4">
        <v>0</v>
      </c>
      <c r="W4">
        <v>0</v>
      </c>
    </row>
    <row r="5" spans="1:23" ht="19.8" customHeight="1" x14ac:dyDescent="0.3">
      <c r="H5" s="40" t="s">
        <v>135</v>
      </c>
      <c r="L5" s="73">
        <v>2</v>
      </c>
      <c r="M5" s="74"/>
      <c r="N5" s="74"/>
      <c r="O5" s="74"/>
      <c r="P5" s="73">
        <v>3</v>
      </c>
      <c r="Q5" s="74"/>
      <c r="R5" s="74"/>
      <c r="S5" s="74"/>
      <c r="V5">
        <v>1</v>
      </c>
      <c r="W5">
        <v>1</v>
      </c>
    </row>
    <row r="6" spans="1:23" ht="19.8" customHeight="1" thickBot="1" x14ac:dyDescent="0.35">
      <c r="H6" s="40" t="s">
        <v>136</v>
      </c>
      <c r="V6">
        <v>2</v>
      </c>
      <c r="W6">
        <v>2</v>
      </c>
    </row>
    <row r="7" spans="1:23" ht="19.8" customHeight="1" x14ac:dyDescent="0.3">
      <c r="A7" s="59" t="s">
        <v>137</v>
      </c>
      <c r="H7" s="40" t="s">
        <v>138</v>
      </c>
      <c r="L7">
        <v>10</v>
      </c>
      <c r="M7">
        <v>0</v>
      </c>
      <c r="N7">
        <v>0</v>
      </c>
      <c r="O7">
        <v>3</v>
      </c>
      <c r="P7">
        <v>0</v>
      </c>
      <c r="Q7">
        <v>0</v>
      </c>
      <c r="R7">
        <v>0</v>
      </c>
      <c r="S7">
        <v>0</v>
      </c>
      <c r="V7">
        <v>3</v>
      </c>
      <c r="W7">
        <v>3</v>
      </c>
    </row>
    <row r="8" spans="1:23" ht="19.8" customHeight="1" x14ac:dyDescent="0.3">
      <c r="A8" s="60" t="s">
        <v>139</v>
      </c>
      <c r="H8" s="40" t="s">
        <v>140</v>
      </c>
      <c r="L8" t="s">
        <v>141</v>
      </c>
      <c r="V8">
        <v>4</v>
      </c>
      <c r="W8">
        <v>4</v>
      </c>
    </row>
    <row r="9" spans="1:23" ht="19.8" customHeight="1" x14ac:dyDescent="0.3">
      <c r="A9" s="61" t="s">
        <v>142</v>
      </c>
      <c r="H9" s="40" t="s">
        <v>143</v>
      </c>
      <c r="L9" t="s">
        <v>144</v>
      </c>
      <c r="V9">
        <v>5</v>
      </c>
      <c r="W9">
        <v>5</v>
      </c>
    </row>
    <row r="10" spans="1:23" ht="19.8" customHeight="1" x14ac:dyDescent="0.3">
      <c r="A10" s="62" t="s">
        <v>145</v>
      </c>
      <c r="H10" s="40" t="s">
        <v>146</v>
      </c>
      <c r="V10">
        <v>6</v>
      </c>
      <c r="W10">
        <v>6</v>
      </c>
    </row>
    <row r="11" spans="1:23" ht="19.8" customHeight="1" x14ac:dyDescent="0.3">
      <c r="A11" s="61" t="s">
        <v>137</v>
      </c>
      <c r="H11" s="40" t="s">
        <v>147</v>
      </c>
      <c r="V11">
        <v>7</v>
      </c>
      <c r="W11">
        <v>7</v>
      </c>
    </row>
    <row r="12" spans="1:23" ht="19.8" customHeight="1" x14ac:dyDescent="0.3">
      <c r="A12" s="63" t="s">
        <v>148</v>
      </c>
      <c r="V12">
        <v>8</v>
      </c>
      <c r="W12">
        <v>8</v>
      </c>
    </row>
    <row r="13" spans="1:23" ht="19.8" customHeight="1" x14ac:dyDescent="0.3">
      <c r="V13">
        <v>9</v>
      </c>
      <c r="W13">
        <v>9</v>
      </c>
    </row>
    <row r="14" spans="1:23" ht="19.8" customHeight="1" x14ac:dyDescent="0.3">
      <c r="V14" t="s">
        <v>149</v>
      </c>
      <c r="W14">
        <v>10</v>
      </c>
    </row>
    <row r="15" spans="1:23" ht="19.8" customHeight="1" x14ac:dyDescent="0.3">
      <c r="V15" t="s">
        <v>150</v>
      </c>
      <c r="W15">
        <v>11</v>
      </c>
    </row>
    <row r="16" spans="1:23" ht="19.8" customHeight="1" x14ac:dyDescent="0.3">
      <c r="V16" t="s">
        <v>151</v>
      </c>
      <c r="W16">
        <v>12</v>
      </c>
    </row>
    <row r="17" spans="1:23" ht="19.8" customHeight="1" x14ac:dyDescent="0.3">
      <c r="V17" t="s">
        <v>152</v>
      </c>
      <c r="W17">
        <v>13</v>
      </c>
    </row>
    <row r="18" spans="1:23" ht="19.8" customHeight="1" x14ac:dyDescent="0.3">
      <c r="V18" t="s">
        <v>153</v>
      </c>
      <c r="W18">
        <v>14</v>
      </c>
    </row>
    <row r="19" spans="1:23" ht="19.8" customHeight="1" x14ac:dyDescent="0.3">
      <c r="V19" t="s">
        <v>154</v>
      </c>
      <c r="W19">
        <v>15</v>
      </c>
    </row>
    <row r="21" spans="1:23" ht="19.8" customHeight="1" thickBot="1" x14ac:dyDescent="0.35"/>
    <row r="22" spans="1:23" ht="19.8" customHeight="1" x14ac:dyDescent="0.3">
      <c r="A22" s="66" t="s">
        <v>155</v>
      </c>
      <c r="B22" s="67" t="s">
        <v>156</v>
      </c>
      <c r="C22" s="68" t="s">
        <v>157</v>
      </c>
    </row>
    <row r="23" spans="1:23" ht="19.8" customHeight="1" thickBot="1" x14ac:dyDescent="0.35">
      <c r="A23" s="69" t="s">
        <v>158</v>
      </c>
      <c r="B23" s="70" t="s">
        <v>159</v>
      </c>
      <c r="C23" s="71" t="s">
        <v>160</v>
      </c>
      <c r="D23" s="65"/>
    </row>
    <row r="25" spans="1:23" ht="19.8" customHeight="1" x14ac:dyDescent="0.3">
      <c r="A25" s="64" t="s">
        <v>158</v>
      </c>
    </row>
  </sheetData>
  <mergeCells count="2">
    <mergeCell ref="L5:O5"/>
    <mergeCell ref="P5:S5"/>
  </mergeCells>
  <conditionalFormatting sqref="A23">
    <cfRule type="duplicateValues" dxfId="1" priority="2"/>
  </conditionalFormatting>
  <conditionalFormatting sqref="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day_month</vt:lpstr>
      <vt:lpstr>1st_October</vt:lpstr>
      <vt:lpstr>3rd_October</vt:lpstr>
      <vt:lpstr>4th_October</vt:lpstr>
      <vt:lpstr>14th_October</vt:lpstr>
      <vt:lpstr>15th_October</vt:lpstr>
      <vt:lpstr>16th_October</vt:lpstr>
      <vt:lpstr>17th_October</vt:lpstr>
      <vt:lpstr>18th_October</vt:lpstr>
      <vt:lpstr>19th_October</vt:lpstr>
      <vt:lpstr>21st_October</vt:lpstr>
      <vt:lpstr>22nd_October</vt:lpstr>
      <vt:lpstr>23rd_October</vt:lpstr>
      <vt:lpstr>28th_October</vt:lpstr>
      <vt:lpstr>24th_October</vt:lpstr>
      <vt:lpstr>25th_October</vt:lpstr>
      <vt:lpstr>29th_October</vt:lpstr>
      <vt:lpstr>30th_October</vt:lpstr>
      <vt:lpstr>Trash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2024-10-01T04:48:28Z</dcterms:created>
  <dcterms:modified xsi:type="dcterms:W3CDTF">2024-11-04T13:33:12Z</dcterms:modified>
</cp:coreProperties>
</file>