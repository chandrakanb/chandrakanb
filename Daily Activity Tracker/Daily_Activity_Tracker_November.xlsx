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129"/>
  <workbookPr/>
  <mc:AlternateContent xmlns:mc="http://schemas.openxmlformats.org/markup-compatibility/2006">
    <mc:Choice Requires="x15">
      <x15ac:absPath xmlns:x15ac="http://schemas.microsoft.com/office/spreadsheetml/2010/11/ac" url="D:\chandrakanb\chandrakanb\Daily Activity Tracker\"/>
    </mc:Choice>
  </mc:AlternateContent>
  <xr:revisionPtr revIDLastSave="0" documentId="13_ncr:1_{136C90FD-A535-47D0-AE7F-CDD93A3A7B46}" xr6:coauthVersionLast="47" xr6:coauthVersionMax="47" xr10:uidLastSave="{00000000-0000-0000-0000-000000000000}"/>
  <bookViews>
    <workbookView xWindow="-108" yWindow="-108" windowWidth="23256" windowHeight="12456" firstSheet="12" activeTab="15" xr2:uid="{00000000-000D-0000-FFFF-FFFF00000000}"/>
  </bookViews>
  <sheets>
    <sheet name="day_month" sheetId="1" r:id="rId1"/>
    <sheet name="4th_November" sheetId="2" r:id="rId2"/>
    <sheet name="5th_November" sheetId="3" r:id="rId3"/>
    <sheet name="6th_November" sheetId="4" r:id="rId4"/>
    <sheet name="7th_November" sheetId="5" r:id="rId5"/>
    <sheet name="8th_November" sheetId="6" r:id="rId6"/>
    <sheet name="9th_November" sheetId="7" r:id="rId7"/>
    <sheet name="11th_November" sheetId="8" r:id="rId8"/>
    <sheet name="12th_November" sheetId="9" r:id="rId9"/>
    <sheet name="13th_November" sheetId="10" r:id="rId10"/>
    <sheet name="14th_November" sheetId="11" r:id="rId11"/>
    <sheet name="15th_November" sheetId="12" r:id="rId12"/>
    <sheet name="18th_November" sheetId="13" r:id="rId13"/>
    <sheet name="19th_November" sheetId="14" r:id="rId14"/>
    <sheet name="21st_November" sheetId="15" r:id="rId15"/>
    <sheet name="25th_November" sheetId="17" r:id="rId16"/>
    <sheet name="Sheet1" sheetId="16" r:id="rId17"/>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21" i="17" l="1"/>
  <c r="A21" i="17"/>
  <c r="F20" i="17"/>
  <c r="A20" i="17"/>
  <c r="F19" i="17"/>
  <c r="A19" i="17"/>
  <c r="F18" i="17"/>
  <c r="A18" i="17"/>
  <c r="F17" i="17"/>
  <c r="A17" i="17"/>
  <c r="F16" i="17"/>
  <c r="A16" i="17"/>
  <c r="F15" i="17"/>
  <c r="A15" i="17"/>
  <c r="F14" i="17"/>
  <c r="A14" i="17"/>
  <c r="F13" i="17"/>
  <c r="A13" i="17"/>
  <c r="F12" i="17"/>
  <c r="A12" i="17"/>
  <c r="F11" i="17"/>
  <c r="A11" i="17"/>
  <c r="F10" i="17"/>
  <c r="A10" i="17"/>
  <c r="F9" i="17"/>
  <c r="A9" i="17"/>
  <c r="F8" i="17"/>
  <c r="A8" i="17"/>
  <c r="F7" i="17"/>
  <c r="A7" i="17"/>
  <c r="F6" i="17"/>
  <c r="A6" i="17"/>
  <c r="F5" i="17"/>
  <c r="A5" i="17"/>
  <c r="F4" i="17"/>
  <c r="A4" i="17"/>
  <c r="F3" i="17"/>
  <c r="A3" i="17"/>
  <c r="F2" i="17"/>
  <c r="F22" i="17" s="1"/>
  <c r="A2" i="17"/>
  <c r="F45" i="15"/>
  <c r="J44" i="15"/>
  <c r="J43" i="15"/>
  <c r="J42" i="15"/>
  <c r="J41" i="15"/>
  <c r="J40" i="15"/>
  <c r="J39" i="15"/>
  <c r="J38" i="15"/>
  <c r="J37" i="15"/>
  <c r="J36" i="15"/>
  <c r="J35" i="15"/>
  <c r="J34" i="15"/>
  <c r="J33" i="15"/>
  <c r="J32" i="15"/>
  <c r="J45" i="15" s="1"/>
  <c r="J31" i="15"/>
  <c r="J30" i="15"/>
  <c r="J29" i="15"/>
  <c r="J28" i="15"/>
  <c r="J27" i="15"/>
  <c r="J26" i="15"/>
  <c r="J25" i="15"/>
  <c r="F22" i="15"/>
  <c r="F21" i="15"/>
  <c r="A21" i="15"/>
  <c r="F20" i="15"/>
  <c r="A20" i="15"/>
  <c r="F19" i="15"/>
  <c r="A19" i="15"/>
  <c r="F18" i="15"/>
  <c r="A18" i="15"/>
  <c r="F17" i="15"/>
  <c r="A17" i="15"/>
  <c r="F16" i="15"/>
  <c r="A16" i="15"/>
  <c r="F15" i="15"/>
  <c r="A15" i="15"/>
  <c r="F14" i="15"/>
  <c r="A14" i="15"/>
  <c r="F13" i="15"/>
  <c r="A13" i="15"/>
  <c r="F12" i="15"/>
  <c r="A12" i="15"/>
  <c r="F11" i="15"/>
  <c r="A11" i="15"/>
  <c r="F10" i="15"/>
  <c r="A10" i="15"/>
  <c r="F9" i="15"/>
  <c r="A9" i="15"/>
  <c r="F8" i="15"/>
  <c r="A8" i="15"/>
  <c r="F7" i="15"/>
  <c r="A7" i="15"/>
  <c r="F6" i="15"/>
  <c r="A6" i="15"/>
  <c r="F5" i="15"/>
  <c r="A5" i="15"/>
  <c r="F4" i="15"/>
  <c r="A4" i="15"/>
  <c r="F3" i="15"/>
  <c r="A3" i="15"/>
  <c r="F2" i="15"/>
  <c r="A2" i="15"/>
  <c r="F61" i="14"/>
  <c r="J60" i="14"/>
  <c r="A60" i="14"/>
  <c r="J59" i="14"/>
  <c r="A59" i="14"/>
  <c r="J58" i="14"/>
  <c r="A58" i="14"/>
  <c r="J57" i="14"/>
  <c r="A57" i="14"/>
  <c r="J56" i="14"/>
  <c r="A56" i="14"/>
  <c r="J55" i="14"/>
  <c r="A55" i="14"/>
  <c r="J54" i="14"/>
  <c r="A54" i="14"/>
  <c r="J53" i="14"/>
  <c r="A53" i="14"/>
  <c r="J52" i="14"/>
  <c r="A52" i="14"/>
  <c r="J51" i="14"/>
  <c r="A51" i="14"/>
  <c r="J50" i="14"/>
  <c r="A50" i="14"/>
  <c r="J49" i="14"/>
  <c r="A49" i="14"/>
  <c r="J48" i="14"/>
  <c r="A48" i="14"/>
  <c r="J47" i="14"/>
  <c r="A47" i="14"/>
  <c r="J46" i="14"/>
  <c r="A46" i="14"/>
  <c r="J45" i="14"/>
  <c r="A45" i="14"/>
  <c r="J44" i="14"/>
  <c r="A44" i="14"/>
  <c r="J43" i="14"/>
  <c r="A43" i="14"/>
  <c r="J42" i="14"/>
  <c r="A42" i="14"/>
  <c r="J41" i="14"/>
  <c r="J61" i="14" s="1"/>
  <c r="A41" i="14"/>
  <c r="F21" i="14"/>
  <c r="A21" i="14"/>
  <c r="F20" i="14"/>
  <c r="A20" i="14"/>
  <c r="F19" i="14"/>
  <c r="A19" i="14"/>
  <c r="F18" i="14"/>
  <c r="A18" i="14"/>
  <c r="F17" i="14"/>
  <c r="A17" i="14"/>
  <c r="F16" i="14"/>
  <c r="A16" i="14"/>
  <c r="F15" i="14"/>
  <c r="A15" i="14"/>
  <c r="F14" i="14"/>
  <c r="A14" i="14"/>
  <c r="F13" i="14"/>
  <c r="A13" i="14"/>
  <c r="F12" i="14"/>
  <c r="A12" i="14"/>
  <c r="F11" i="14"/>
  <c r="A11" i="14"/>
  <c r="F10" i="14"/>
  <c r="A10" i="14"/>
  <c r="F9" i="14"/>
  <c r="A9" i="14"/>
  <c r="F8" i="14"/>
  <c r="A8" i="14"/>
  <c r="F7" i="14"/>
  <c r="A7" i="14"/>
  <c r="F6" i="14"/>
  <c r="A6" i="14"/>
  <c r="F5" i="14"/>
  <c r="A5" i="14"/>
  <c r="F4" i="14"/>
  <c r="A4" i="14"/>
  <c r="F3" i="14"/>
  <c r="A3" i="14"/>
  <c r="F2" i="14"/>
  <c r="F22" i="14" s="1"/>
  <c r="A2" i="14"/>
  <c r="F22" i="13"/>
  <c r="J21" i="13"/>
  <c r="A21" i="13"/>
  <c r="J20" i="13"/>
  <c r="A20" i="13"/>
  <c r="J19" i="13"/>
  <c r="A19" i="13"/>
  <c r="J18" i="13"/>
  <c r="A18" i="13"/>
  <c r="J17" i="13"/>
  <c r="A17" i="13"/>
  <c r="J16" i="13"/>
  <c r="A16" i="13"/>
  <c r="J15" i="13"/>
  <c r="A15" i="13"/>
  <c r="J14" i="13"/>
  <c r="A14" i="13"/>
  <c r="J13" i="13"/>
  <c r="A13" i="13"/>
  <c r="J12" i="13"/>
  <c r="A12" i="13"/>
  <c r="J11" i="13"/>
  <c r="A11" i="13"/>
  <c r="J10" i="13"/>
  <c r="A10" i="13"/>
  <c r="J9" i="13"/>
  <c r="A9" i="13"/>
  <c r="J8" i="13"/>
  <c r="A8" i="13"/>
  <c r="J7" i="13"/>
  <c r="A7" i="13"/>
  <c r="J6" i="13"/>
  <c r="A6" i="13"/>
  <c r="J5" i="13"/>
  <c r="A5" i="13"/>
  <c r="J4" i="13"/>
  <c r="J22" i="13" s="1"/>
  <c r="A4" i="13"/>
  <c r="J3" i="13"/>
  <c r="A3" i="13"/>
  <c r="J2" i="13"/>
  <c r="A2" i="13"/>
  <c r="F22" i="12"/>
  <c r="J21" i="12"/>
  <c r="A21" i="12"/>
  <c r="J20" i="12"/>
  <c r="A20" i="12"/>
  <c r="J19" i="12"/>
  <c r="A19" i="12"/>
  <c r="J18" i="12"/>
  <c r="A18" i="12"/>
  <c r="J17" i="12"/>
  <c r="A17" i="12"/>
  <c r="J16" i="12"/>
  <c r="A16" i="12"/>
  <c r="J15" i="12"/>
  <c r="A15" i="12"/>
  <c r="J14" i="12"/>
  <c r="A14" i="12"/>
  <c r="J13" i="12"/>
  <c r="A13" i="12"/>
  <c r="J12" i="12"/>
  <c r="A12" i="12"/>
  <c r="J11" i="12"/>
  <c r="A11" i="12"/>
  <c r="J10" i="12"/>
  <c r="A10" i="12"/>
  <c r="J9" i="12"/>
  <c r="A9" i="12"/>
  <c r="J8" i="12"/>
  <c r="A8" i="12"/>
  <c r="J7" i="12"/>
  <c r="A7" i="12"/>
  <c r="J6" i="12"/>
  <c r="A6" i="12"/>
  <c r="J5" i="12"/>
  <c r="A5" i="12"/>
  <c r="J4" i="12"/>
  <c r="A4" i="12"/>
  <c r="J3" i="12"/>
  <c r="A3" i="12"/>
  <c r="J2" i="12"/>
  <c r="J22" i="12" s="1"/>
  <c r="A2" i="12"/>
  <c r="F22" i="11"/>
  <c r="J21" i="11"/>
  <c r="A21" i="11"/>
  <c r="J20" i="11"/>
  <c r="A20" i="11"/>
  <c r="J19" i="11"/>
  <c r="A19" i="11"/>
  <c r="J18" i="11"/>
  <c r="A18" i="11"/>
  <c r="J17" i="11"/>
  <c r="A17" i="11"/>
  <c r="J16" i="11"/>
  <c r="A16" i="11"/>
  <c r="J15" i="11"/>
  <c r="A15" i="11"/>
  <c r="J14" i="11"/>
  <c r="A14" i="11"/>
  <c r="J13" i="11"/>
  <c r="A13" i="11"/>
  <c r="J12" i="11"/>
  <c r="A12" i="11"/>
  <c r="J11" i="11"/>
  <c r="A11" i="11"/>
  <c r="J10" i="11"/>
  <c r="A10" i="11"/>
  <c r="J9" i="11"/>
  <c r="A9" i="11"/>
  <c r="J8" i="11"/>
  <c r="A8" i="11"/>
  <c r="J7" i="11"/>
  <c r="A7" i="11"/>
  <c r="J6" i="11"/>
  <c r="A6" i="11"/>
  <c r="J5" i="11"/>
  <c r="A5" i="11"/>
  <c r="J4" i="11"/>
  <c r="J22" i="11" s="1"/>
  <c r="A4" i="11"/>
  <c r="J3" i="11"/>
  <c r="A3" i="11"/>
  <c r="J2" i="11"/>
  <c r="A2" i="11"/>
  <c r="A40" i="10"/>
  <c r="A39" i="10"/>
  <c r="A38" i="10"/>
  <c r="A37" i="10"/>
  <c r="A36" i="10"/>
  <c r="A35" i="10"/>
  <c r="A34" i="10"/>
  <c r="A33" i="10"/>
  <c r="A32" i="10"/>
  <c r="A31" i="10"/>
  <c r="A30" i="10"/>
  <c r="A29" i="10"/>
  <c r="A28" i="10"/>
  <c r="A27" i="10"/>
  <c r="F22" i="10"/>
  <c r="J21" i="10"/>
  <c r="A21" i="10"/>
  <c r="J20" i="10"/>
  <c r="A20" i="10"/>
  <c r="J19" i="10"/>
  <c r="A19" i="10"/>
  <c r="J18" i="10"/>
  <c r="A18" i="10"/>
  <c r="J17" i="10"/>
  <c r="A17" i="10"/>
  <c r="J16" i="10"/>
  <c r="A16" i="10"/>
  <c r="J15" i="10"/>
  <c r="A15" i="10"/>
  <c r="J14" i="10"/>
  <c r="A14" i="10"/>
  <c r="J13" i="10"/>
  <c r="A13" i="10"/>
  <c r="J12" i="10"/>
  <c r="A12" i="10"/>
  <c r="J11" i="10"/>
  <c r="A11" i="10"/>
  <c r="J10" i="10"/>
  <c r="A10" i="10"/>
  <c r="J9" i="10"/>
  <c r="A9" i="10"/>
  <c r="J8" i="10"/>
  <c r="A8" i="10"/>
  <c r="J7" i="10"/>
  <c r="A7" i="10"/>
  <c r="J6" i="10"/>
  <c r="A6" i="10"/>
  <c r="J5" i="10"/>
  <c r="A5" i="10"/>
  <c r="J4" i="10"/>
  <c r="A4" i="10"/>
  <c r="J3" i="10"/>
  <c r="A3" i="10"/>
  <c r="J2" i="10"/>
  <c r="J22" i="10" s="1"/>
  <c r="A2" i="10"/>
  <c r="F21" i="9"/>
  <c r="A21" i="9"/>
  <c r="F20" i="9"/>
  <c r="A20" i="9"/>
  <c r="F19" i="9"/>
  <c r="A19" i="9"/>
  <c r="F18" i="9"/>
  <c r="A18" i="9"/>
  <c r="F17" i="9"/>
  <c r="A17" i="9"/>
  <c r="F16" i="9"/>
  <c r="A16" i="9"/>
  <c r="F15" i="9"/>
  <c r="A15" i="9"/>
  <c r="F14" i="9"/>
  <c r="A14" i="9"/>
  <c r="F13" i="9"/>
  <c r="A13" i="9"/>
  <c r="F12" i="9"/>
  <c r="A12" i="9"/>
  <c r="F11" i="9"/>
  <c r="A11" i="9"/>
  <c r="F10" i="9"/>
  <c r="A10" i="9"/>
  <c r="F9" i="9"/>
  <c r="A9" i="9"/>
  <c r="F8" i="9"/>
  <c r="A8" i="9"/>
  <c r="F7" i="9"/>
  <c r="A7" i="9"/>
  <c r="F6" i="9"/>
  <c r="A6" i="9"/>
  <c r="F5" i="9"/>
  <c r="A5" i="9"/>
  <c r="F4" i="9"/>
  <c r="A4" i="9"/>
  <c r="F3" i="9"/>
  <c r="A3" i="9"/>
  <c r="F2" i="9"/>
  <c r="F22" i="9" s="1"/>
  <c r="A2" i="9"/>
  <c r="F21" i="8"/>
  <c r="A21" i="8"/>
  <c r="F20" i="8"/>
  <c r="A20" i="8"/>
  <c r="F19" i="8"/>
  <c r="A19" i="8"/>
  <c r="F18" i="8"/>
  <c r="A18" i="8"/>
  <c r="F17" i="8"/>
  <c r="A17" i="8"/>
  <c r="F16" i="8"/>
  <c r="A16" i="8"/>
  <c r="F15" i="8"/>
  <c r="A15" i="8"/>
  <c r="F14" i="8"/>
  <c r="A14" i="8"/>
  <c r="F13" i="8"/>
  <c r="A13" i="8"/>
  <c r="F12" i="8"/>
  <c r="A12" i="8"/>
  <c r="F11" i="8"/>
  <c r="A11" i="8"/>
  <c r="F10" i="8"/>
  <c r="A10" i="8"/>
  <c r="F9" i="8"/>
  <c r="A9" i="8"/>
  <c r="F8" i="8"/>
  <c r="A8" i="8"/>
  <c r="F7" i="8"/>
  <c r="A7" i="8"/>
  <c r="F6" i="8"/>
  <c r="A6" i="8"/>
  <c r="F5" i="8"/>
  <c r="A5" i="8"/>
  <c r="F4" i="8"/>
  <c r="A4" i="8"/>
  <c r="F3" i="8"/>
  <c r="F22" i="8" s="1"/>
  <c r="A3" i="8"/>
  <c r="F2" i="8"/>
  <c r="A2" i="8"/>
  <c r="F21" i="7"/>
  <c r="A21" i="7"/>
  <c r="F20" i="7"/>
  <c r="A20" i="7"/>
  <c r="F19" i="7"/>
  <c r="A19" i="7"/>
  <c r="F18" i="7"/>
  <c r="A18" i="7"/>
  <c r="F17" i="7"/>
  <c r="A17" i="7"/>
  <c r="F16" i="7"/>
  <c r="A16" i="7"/>
  <c r="F15" i="7"/>
  <c r="A15" i="7"/>
  <c r="F14" i="7"/>
  <c r="A14" i="7"/>
  <c r="F13" i="7"/>
  <c r="A13" i="7"/>
  <c r="F12" i="7"/>
  <c r="A12" i="7"/>
  <c r="F11" i="7"/>
  <c r="A11" i="7"/>
  <c r="F10" i="7"/>
  <c r="A10" i="7"/>
  <c r="F9" i="7"/>
  <c r="A9" i="7"/>
  <c r="F8" i="7"/>
  <c r="A8" i="7"/>
  <c r="F7" i="7"/>
  <c r="A7" i="7"/>
  <c r="F6" i="7"/>
  <c r="A6" i="7"/>
  <c r="F5" i="7"/>
  <c r="A5" i="7"/>
  <c r="F4" i="7"/>
  <c r="A4" i="7"/>
  <c r="F3" i="7"/>
  <c r="F22" i="7" s="1"/>
  <c r="A3" i="7"/>
  <c r="F2" i="7"/>
  <c r="A2" i="7"/>
  <c r="E21" i="6"/>
  <c r="A21" i="6"/>
  <c r="E20" i="6"/>
  <c r="A20" i="6"/>
  <c r="E19" i="6"/>
  <c r="A19" i="6"/>
  <c r="E18" i="6"/>
  <c r="A18" i="6"/>
  <c r="E17" i="6"/>
  <c r="A17" i="6"/>
  <c r="E16" i="6"/>
  <c r="A16" i="6"/>
  <c r="E15" i="6"/>
  <c r="A15" i="6"/>
  <c r="E14" i="6"/>
  <c r="A14" i="6"/>
  <c r="E13" i="6"/>
  <c r="A13" i="6"/>
  <c r="E12" i="6"/>
  <c r="A12" i="6"/>
  <c r="E11" i="6"/>
  <c r="A11" i="6"/>
  <c r="E10" i="6"/>
  <c r="A10" i="6"/>
  <c r="E9" i="6"/>
  <c r="A9" i="6"/>
  <c r="E8" i="6"/>
  <c r="A8" i="6"/>
  <c r="E7" i="6"/>
  <c r="A7" i="6"/>
  <c r="E6" i="6"/>
  <c r="A6" i="6"/>
  <c r="E5" i="6"/>
  <c r="A5" i="6"/>
  <c r="E4" i="6"/>
  <c r="A4" i="6"/>
  <c r="E3" i="6"/>
  <c r="A3" i="6"/>
  <c r="E2" i="6"/>
  <c r="E22" i="6" s="1"/>
  <c r="A2" i="6"/>
  <c r="E21" i="5"/>
  <c r="A21" i="5"/>
  <c r="E20" i="5"/>
  <c r="A20" i="5"/>
  <c r="E19" i="5"/>
  <c r="A19" i="5"/>
  <c r="E18" i="5"/>
  <c r="A18" i="5"/>
  <c r="E17" i="5"/>
  <c r="A17" i="5"/>
  <c r="E16" i="5"/>
  <c r="A16" i="5"/>
  <c r="E15" i="5"/>
  <c r="A15" i="5"/>
  <c r="E14" i="5"/>
  <c r="A14" i="5"/>
  <c r="E13" i="5"/>
  <c r="A13" i="5"/>
  <c r="E12" i="5"/>
  <c r="A12" i="5"/>
  <c r="E11" i="5"/>
  <c r="A11" i="5"/>
  <c r="E10" i="5"/>
  <c r="A10" i="5"/>
  <c r="E9" i="5"/>
  <c r="A9" i="5"/>
  <c r="E8" i="5"/>
  <c r="A8" i="5"/>
  <c r="E7" i="5"/>
  <c r="A7" i="5"/>
  <c r="E6" i="5"/>
  <c r="A6" i="5"/>
  <c r="E5" i="5"/>
  <c r="A5" i="5"/>
  <c r="E4" i="5"/>
  <c r="A4" i="5"/>
  <c r="E3" i="5"/>
  <c r="A3" i="5"/>
  <c r="E2" i="5"/>
  <c r="E22" i="5" s="1"/>
  <c r="A2" i="5"/>
  <c r="E21" i="4"/>
  <c r="A21" i="4"/>
  <c r="E20" i="4"/>
  <c r="A20" i="4"/>
  <c r="E19" i="4"/>
  <c r="A19" i="4"/>
  <c r="E18" i="4"/>
  <c r="A18" i="4"/>
  <c r="E17" i="4"/>
  <c r="A17" i="4"/>
  <c r="E16" i="4"/>
  <c r="A16" i="4"/>
  <c r="E15" i="4"/>
  <c r="A15" i="4"/>
  <c r="E14" i="4"/>
  <c r="A14" i="4"/>
  <c r="E13" i="4"/>
  <c r="A13" i="4"/>
  <c r="E12" i="4"/>
  <c r="A12" i="4"/>
  <c r="E11" i="4"/>
  <c r="A11" i="4"/>
  <c r="E10" i="4"/>
  <c r="A10" i="4"/>
  <c r="E9" i="4"/>
  <c r="A9" i="4"/>
  <c r="E8" i="4"/>
  <c r="A8" i="4"/>
  <c r="E7" i="4"/>
  <c r="A7" i="4"/>
  <c r="E6" i="4"/>
  <c r="A6" i="4"/>
  <c r="E5" i="4"/>
  <c r="A5" i="4"/>
  <c r="E4" i="4"/>
  <c r="A4" i="4"/>
  <c r="E3" i="4"/>
  <c r="A3" i="4"/>
  <c r="E2" i="4"/>
  <c r="E22" i="4" s="1"/>
  <c r="A2" i="4"/>
  <c r="E21" i="3"/>
  <c r="A21" i="3"/>
  <c r="E20" i="3"/>
  <c r="A20" i="3"/>
  <c r="E19" i="3"/>
  <c r="A19" i="3"/>
  <c r="E18" i="3"/>
  <c r="A18" i="3"/>
  <c r="E17" i="3"/>
  <c r="A17" i="3"/>
  <c r="E16" i="3"/>
  <c r="A16" i="3"/>
  <c r="E15" i="3"/>
  <c r="A15" i="3"/>
  <c r="E14" i="3"/>
  <c r="A14" i="3"/>
  <c r="E13" i="3"/>
  <c r="A13" i="3"/>
  <c r="E12" i="3"/>
  <c r="A12" i="3"/>
  <c r="E11" i="3"/>
  <c r="A11" i="3"/>
  <c r="E10" i="3"/>
  <c r="A10" i="3"/>
  <c r="E9" i="3"/>
  <c r="A9" i="3"/>
  <c r="E8" i="3"/>
  <c r="A8" i="3"/>
  <c r="E7" i="3"/>
  <c r="E22" i="3" s="1"/>
  <c r="A7" i="3"/>
  <c r="E6" i="3"/>
  <c r="A6" i="3"/>
  <c r="E5" i="3"/>
  <c r="A5" i="3"/>
  <c r="E4" i="3"/>
  <c r="A4" i="3"/>
  <c r="E3" i="3"/>
  <c r="A3" i="3"/>
  <c r="E2" i="3"/>
  <c r="A2" i="3"/>
  <c r="E22" i="2"/>
  <c r="E21" i="2"/>
  <c r="A21" i="2"/>
  <c r="E20" i="2"/>
  <c r="A20" i="2"/>
  <c r="E19" i="2"/>
  <c r="A19" i="2"/>
  <c r="E18" i="2"/>
  <c r="A18" i="2"/>
  <c r="E17" i="2"/>
  <c r="A17" i="2"/>
  <c r="E16" i="2"/>
  <c r="A16" i="2"/>
  <c r="E15" i="2"/>
  <c r="A15" i="2"/>
  <c r="E14" i="2"/>
  <c r="A14" i="2"/>
  <c r="E13" i="2"/>
  <c r="A13" i="2"/>
  <c r="E12" i="2"/>
  <c r="A12" i="2"/>
  <c r="E11" i="2"/>
  <c r="A11" i="2"/>
  <c r="E10" i="2"/>
  <c r="A10" i="2"/>
  <c r="E9" i="2"/>
  <c r="A9" i="2"/>
  <c r="E8" i="2"/>
  <c r="A8" i="2"/>
  <c r="E7" i="2"/>
  <c r="A7" i="2"/>
  <c r="E6" i="2"/>
  <c r="A6" i="2"/>
  <c r="E5" i="2"/>
  <c r="A5" i="2"/>
  <c r="E4" i="2"/>
  <c r="A4" i="2"/>
  <c r="E3" i="2"/>
  <c r="A3" i="2"/>
  <c r="E2" i="2"/>
  <c r="A2" i="2"/>
  <c r="F21" i="1"/>
  <c r="A21" i="1"/>
  <c r="F20" i="1"/>
  <c r="A20" i="1"/>
  <c r="F19" i="1"/>
  <c r="A19" i="1"/>
  <c r="F18" i="1"/>
  <c r="A18" i="1"/>
  <c r="F17" i="1"/>
  <c r="A17" i="1"/>
  <c r="F16" i="1"/>
  <c r="A16" i="1"/>
  <c r="F15" i="1"/>
  <c r="A15" i="1"/>
  <c r="F14" i="1"/>
  <c r="A14" i="1"/>
  <c r="F13" i="1"/>
  <c r="A13" i="1"/>
  <c r="F12" i="1"/>
  <c r="A12" i="1"/>
  <c r="F11" i="1"/>
  <c r="A11" i="1"/>
  <c r="F10" i="1"/>
  <c r="A10" i="1"/>
  <c r="F9" i="1"/>
  <c r="A9" i="1"/>
  <c r="F8" i="1"/>
  <c r="A8" i="1"/>
  <c r="F7" i="1"/>
  <c r="A7" i="1"/>
  <c r="F6" i="1"/>
  <c r="A6" i="1"/>
  <c r="F5" i="1"/>
  <c r="A5" i="1"/>
  <c r="F4" i="1"/>
  <c r="A4" i="1"/>
  <c r="F3" i="1"/>
  <c r="A3" i="1"/>
  <c r="F2" i="1"/>
  <c r="F22" i="1" s="1"/>
  <c r="A2" i="1"/>
</calcChain>
</file>

<file path=xl/sharedStrings.xml><?xml version="1.0" encoding="utf-8"?>
<sst xmlns="http://schemas.openxmlformats.org/spreadsheetml/2006/main" count="890" uniqueCount="195">
  <si>
    <t xml:space="preserve">Sr.No. </t>
  </si>
  <si>
    <t>Activity</t>
  </si>
  <si>
    <t>Start Time</t>
  </si>
  <si>
    <t>End Time</t>
  </si>
  <si>
    <t>Planned Time</t>
  </si>
  <si>
    <t>Actual Time</t>
  </si>
  <si>
    <t xml:space="preserve">Status </t>
  </si>
  <si>
    <t>Published the Overnight Execution Reports of Bench 09.</t>
  </si>
  <si>
    <t>Overnight Execution Analysis of Bench 09.</t>
  </si>
  <si>
    <t>Auto-Flashing Analysis on Bench 09.</t>
  </si>
  <si>
    <t>Attended meeting</t>
  </si>
  <si>
    <t>Taken git pull/push on Bench 09.</t>
  </si>
  <si>
    <t>Performed Sanity on Bench 09.</t>
  </si>
  <si>
    <t>Checked missing resource popup on Bench 09.</t>
  </si>
  <si>
    <t>Connected Bench 09 to Jenkins Pipeline.</t>
  </si>
  <si>
    <t>Total</t>
  </si>
  <si>
    <t>Total Time</t>
  </si>
  <si>
    <t>Checked Calibration of Bench 09.</t>
  </si>
  <si>
    <t>Completed</t>
  </si>
  <si>
    <t>Uploaded the Calibration data on git for bench 09.</t>
  </si>
  <si>
    <t>Flashed T90X Variant on Bench 01 and Bench 03.</t>
  </si>
  <si>
    <t>Flashed Base build on Bench 03.</t>
  </si>
  <si>
    <t>Flashed Latest Build on Bench 03.</t>
  </si>
  <si>
    <t>Changed the config files for T90X 705 Testscripts for Bench 09.</t>
  </si>
  <si>
    <t>Executed the new config files made for T90X 705 Testscripts for Bench 09.</t>
  </si>
  <si>
    <t>Vehicle simulator CAN Signal feasibility.</t>
  </si>
  <si>
    <t>Attended the DSR Meeting.</t>
  </si>
  <si>
    <t>Re-executed the failed test script in daytime.</t>
  </si>
  <si>
    <t>Made the config file for Bench 01 and Bench 03.</t>
  </si>
  <si>
    <t>Consolidated the Data in Vehicle Simulator CAN Signal Feasibility Sheet and shared the same Priyanka San.</t>
  </si>
  <si>
    <t>Attended the Meeting</t>
  </si>
  <si>
    <t>In-Progress</t>
  </si>
  <si>
    <t>Prepared data for TS count for Vehicle Simulator.</t>
  </si>
  <si>
    <t>Flashed AEA1400D0.241003 build on manual T variant Bench.</t>
  </si>
  <si>
    <t>Taken Logs for  Bug PJ04DEF00-484</t>
  </si>
  <si>
    <t>Flashed AEA1400D0.241028 build on manual T variant Bench.</t>
  </si>
  <si>
    <t>Re-executed the failed test script in multiple iterations in daytime.</t>
  </si>
  <si>
    <t>Taken the logs for the failed iterations.</t>
  </si>
  <si>
    <t>Fixed and checked Gain of audio setup of Bench 01.</t>
  </si>
  <si>
    <t>Fixed and checked Gain of audio setup of Bench 03.</t>
  </si>
  <si>
    <t>Given KT about Audio setup to new team members.</t>
  </si>
  <si>
    <t>Executed and taken the logs for the failed TS KPIT_TC_DRT_IDS_009.</t>
  </si>
  <si>
    <t>Done CID flashing using Cypress tool for display of Bench 03.</t>
  </si>
  <si>
    <t>Fixed the Audio Setup(Impedance Convertor)  on Bench 09.</t>
  </si>
  <si>
    <t>Added TS in Test packs and Test cycle.</t>
  </si>
  <si>
    <t>Created new config file for Bench 09.</t>
  </si>
  <si>
    <t>Filled the DRT Automation and Manual Bench Details sheet for Bench 09.</t>
  </si>
  <si>
    <t>Removed the test script form text pack for bench 09.</t>
  </si>
  <si>
    <t>Made the document for CID flashing using Cypress tool for display.</t>
  </si>
  <si>
    <t xml:space="preserve">CID Flashing </t>
  </si>
  <si>
    <t>CID flashing LRT manual Bench 09.</t>
  </si>
  <si>
    <t>Collected data for CID version and display type for automation benches.</t>
  </si>
  <si>
    <t>Given OK and NG logs for KPIT_TC_DRT_KEY_013.</t>
  </si>
  <si>
    <t>Given KT about Android Auto connection to buddy.</t>
  </si>
  <si>
    <t>CID Flashing version Bench 06.</t>
  </si>
  <si>
    <t>Flashed next days build on Manual build.</t>
  </si>
  <si>
    <t>Flashed base build on Manual build.</t>
  </si>
  <si>
    <t>Flashed Yesterdays build on Manual build.</t>
  </si>
  <si>
    <t>Sr. No. </t>
  </si>
  <si>
    <t>Tasks</t>
  </si>
  <si>
    <t>Task Details</t>
  </si>
  <si>
    <t>Output</t>
  </si>
  <si>
    <t>Status</t>
  </si>
  <si>
    <t>No. of Skeleton Created</t>
  </si>
  <si>
    <t>No. Of TC Executed</t>
  </si>
  <si>
    <t>No. of TCs Sent for review</t>
  </si>
  <si>
    <t>Executed on which Bench</t>
  </si>
  <si>
    <t>Added in Pack or not</t>
  </si>
  <si>
    <t>No. of TCs for Rework</t>
  </si>
  <si>
    <t>1. Taken Snips of Auto Flashing Execution and Overnight Execution from Html reports.
2. Moved Auto Flashing Execution and Overnight Execution PDFs and excel files to zip folder.
3. Published the Overnight Execution Reports for Bench 09.</t>
  </si>
  <si>
    <t>Published the Overnight Execution Reports for Bench 09.</t>
  </si>
  <si>
    <t>NA</t>
  </si>
  <si>
    <t>1. Copied the required report folder from "D:\KITE_DATA\Execution\Reportsbackup\", pasted it into "D:\KITE_DATA\Execution\Reports\", and removed any prefixes (DRT_) for analysis.
2. Analysis of Overnight Execution for Bench 09.
3. Filled out the DSR sheet with Execution time, Pass &amp; Fail count, and failure categories.
4. Updated the Overnight Analysis Sheet for Overnight Execution for Bench 09.</t>
  </si>
  <si>
    <t>Analysis of Overnight Execution for Bench 09, is updated in DSR sheet and Overnight Analysis Sheet.</t>
  </si>
  <si>
    <t>1. Copied the required report folder from "D:\KITE_DATA\Execution\Reportsbackup\", pasted it into "D:\KITE_DATA\Execution\Reports\", and removed any prefixes (AF_) for analysis.
2. Analysis of Auto Flashing Execution for Bench 09.
3. Updated the Auto Flashing Status Sheet for Auto Flashing Execution for Bench 09.</t>
  </si>
  <si>
    <t>Analysis of Auto Flashing Execution for Bench 09</t>
  </si>
  <si>
    <t>GTC Server Manual Testing on Bench 07 and Bench 09.</t>
  </si>
  <si>
    <t>1. Connected Bench 09 ICB(TYAW) on Bench 07 black box and executed the one-to-one messages related script manually.
2. Connected Bench 07 ICB(T Variant) on Bench 07 black box and executed the one-to-one messages related script manually.
3. Connected Bench 09 ICB(TYAW) on Bench 09 black box and executed the one-to-one messages related script manually.</t>
  </si>
  <si>
    <t>1. One to One Messages are coming Bench 09 ICB(TYAW) while connecting the ICB on Bench 09 &amp; Bench 07 black box in daytime. 
2. One to One Messages are not coming Bench 07 ICB(T Variant) while connecting the ICB on Bench 07 black box in daytime.</t>
  </si>
  <si>
    <t>Vin checked on B7 an b9 by changing ICBs</t>
  </si>
  <si>
    <t>Updated CID Version Data Sheet.</t>
  </si>
  <si>
    <t>Updated CID Version Data Sheet for the current and required CID Version all Benches.</t>
  </si>
  <si>
    <t>Updated CID Version Data Sheet is shared with all Leads.</t>
  </si>
  <si>
    <t>Fixed Audio Setup for Bench 03.</t>
  </si>
  <si>
    <t>1. Checked the audio setup of Bench 03.  
1. Opened the Audacity software on system.
2. Executed all required precondition manually.
3. Executed the test script and checked the audio, and changed the gain and re-executed the test script again multiple times.
4. Once the gain is set properly, executed the test script in 3 iteratons.</t>
  </si>
  <si>
    <t>Audio Setup is working on Bench 03.</t>
  </si>
  <si>
    <t>Lunch &amp; Break.</t>
  </si>
  <si>
    <t>-</t>
  </si>
  <si>
    <t>CID Sheet updated</t>
  </si>
  <si>
    <t>Flashed Base Build on Bench 09.</t>
  </si>
  <si>
    <t>1. Set the ICB to write mode by toggling the debug board switch after turning off the ICB.
2. Turned on the ICB, launched the QFIL software on the system, selected the port, loaded required files, and initiated the download.
3. After successful flashing, set the ICB to read mode by toggling the debug board switch after turning off the ICB.
4. Turned on the ICB and checked the software version on the ICB.</t>
  </si>
  <si>
    <t>Base Build is flashed successfully on Bench 09.</t>
  </si>
  <si>
    <t>Creation CAT 006</t>
  </si>
  <si>
    <t>Flashed Generic SysUcom and CANWhitelist on Bench 09.</t>
  </si>
  <si>
    <t>1. Downloaded the Generic SysUcom and CANWhitelist on system.
2. Extracted the zip files and copied the required files in Pendrive after formating pendrive.
3. Flashed the Generic SysUcom and CANWhitelist on Bench 09.
4. After successful flashing, confirmed the SysUcom and CANWhitelist version on Bench 09.</t>
  </si>
  <si>
    <t>Generic SysUcom and CANWhitelist is flashed successfully on Bench 09.</t>
  </si>
  <si>
    <t>Flashed Latest Dev Build on Bench 09.</t>
  </si>
  <si>
    <t>1. Downloaded the last Dev OTA Build on system.
2. Extracted the build and connected the pendrive to ICB.
3. Flashed the OTA build on Bench 09.
4. After successful flashing, confirmed the software version on Bench 09.</t>
  </si>
  <si>
    <t>Last Dev Build is flashed successfully on Bench 09.</t>
  </si>
  <si>
    <t>B3 audio setup</t>
  </si>
  <si>
    <t>1. Restarted the system before sanity.
2. Checked device connections: ensured AA app was updated, USB connected to Port 1, devices charged, and all connections secure.
3. Performed Git pull and push for daytime changes.
4. Set preferences in KITE app: configured Device Mapping, CAN and LIN Settings, Exception Handling, and Video Logger.
5. Executed sanity test pack, re-execute failed scripts as needed, exported reports, and captured screenshots.
6. Cleared space on C and D drives.
7. Ran USB_Device_Check.py and verified the BENCH_USB folder on D Drive.
8. Verified correct config files and batch files in KITE folder and triggered execution.
9. Enabled Auto PDF Report Generation and closed KITE app.
10. Connected bench to Jenkins server via .bat file.
11. Uploaded screenshots and reports to Git.</t>
  </si>
  <si>
    <t>Sanity is performed succussfully on Bench 09.</t>
  </si>
  <si>
    <t>Base build flash on b7</t>
  </si>
  <si>
    <t>1. Verified correct config files and batch files in the KITE folder and triggered execution.
2. Took a Git pull before running the batch file with the config.
3. Ran the batch files with config and checked for missing resource popups.</t>
  </si>
  <si>
    <t>Missing resource popup is not coming on Bench 09.</t>
  </si>
  <si>
    <t>Sysu com n can white list flashh on b9</t>
  </si>
  <si>
    <t>1. Connected the Bench 09 to Jenkins Pipeline by running Bat file.</t>
  </si>
  <si>
    <t>Bench 09 is connected to Jenkins Pipeline.</t>
  </si>
  <si>
    <t>dev build flash bin</t>
  </si>
  <si>
    <t>Filled time log, DSR Sheet and Sent mail for todays activities.</t>
  </si>
  <si>
    <t>1. Filled time log in Unipro.
2. Filled DSR Sheet for todays activities.
3. Sent mail for todays activities.</t>
  </si>
  <si>
    <t>1. DSR Sheet and time log is filled.
2. Mail with activity summary is sent.</t>
  </si>
  <si>
    <t>Bench 09</t>
  </si>
  <si>
    <t>Yes</t>
  </si>
  <si>
    <t>Get changed the T Variant debug board strip.</t>
  </si>
  <si>
    <t>1. Checked the T Variant debug board strip, before changing the T Variant debug board strip.
2. Got changed the T Variant debug board strip.
3. Checked the T Variant debug board strip,  after changing the T Variant debug board strip.</t>
  </si>
  <si>
    <t>T Variant working fine after changing the debug board Strip.</t>
  </si>
  <si>
    <t>Flashed Base Build on Bench 07.</t>
  </si>
  <si>
    <t>Base Build is flashed successfully on Bench 07.</t>
  </si>
  <si>
    <t>Flashed Generic SysUcom and CANWhitelist on Bench 07.</t>
  </si>
  <si>
    <t>1. Downloaded the Generic SysUcom and CANWhitelist on system.
2. Extracted the zip files and copied the required files in Pendrive after formating pendrive.
3. Flashed the Generic SysUcom and CANWhitelist on Bench 07.
4. After successful flashing, confirmed the SysUcom and CANWhitelist version on Bench 07.</t>
  </si>
  <si>
    <t>Generic SysUcom and CANWhitelist is flashed successfully on Bench 07.</t>
  </si>
  <si>
    <t>Flashed Latest Dev Build on Bench 07.</t>
  </si>
  <si>
    <t>1. Downloaded the last Dev OTA Build on system.
2. Extracted the build and connected the pendrive to ICB.
3. Flashed the OTA build on Bench 07.
4. After successful flashing, confirmed the software version on Bench 07.</t>
  </si>
  <si>
    <t>Last Dev Build is flashed successfully on Bench 07.</t>
  </si>
  <si>
    <t>FixedAudio Setup of LRT Automation Bench.</t>
  </si>
  <si>
    <t>1. Checked the audio setup of LRT Automation Bench.  
2. Opened the Audacity software on system.
3. Set the gain accordingly, by checking the changes in audacity.
4. Explain this process LRT Automation  team members.</t>
  </si>
  <si>
    <t>Audio Setup is working on LRT Automation Bench.</t>
  </si>
  <si>
    <t>Test script creation : KPIT_TC_DRT_CAT_006</t>
  </si>
  <si>
    <t>1. Made Skelaton for the Test script.
2. Executed the required preconditions.
3. Executed the Test script, and made the changes.
4. Executed the Test script in three iterations.</t>
  </si>
  <si>
    <t>KPIT_TC_DRT_CAT_006 test script is created.</t>
  </si>
  <si>
    <t>1. Restarted the system before sanity.
2. Checked device connections: ensured AA app was updated, USB connected to Port 1, devices charged, and all connections secure.
3. Performed Git pull and push for daytime changes.
4. Set preferences in KITE app: configured Device Mapping, CAN and LIN Settings, Exception Handling, and Video Logger.
5. Executed sanity test pack, re-execute failed scripts as needed, exported reports, and captured screenshots.
6. Cleared space on C and D drives.
7. Ran USB_Device_Check.py and verified the BENCH_USB folder on D Drive.
8. Verified correct config files and batch files in KITE folder and triggered execution.
9. Enabled Auto PDF Report Generation and closed KITE app.
10. Connected bench to Jenkins server via .bat file.
11. Uploaded screenshots and reports to Git.
12. Filled Automation Sanity Checklist.</t>
  </si>
  <si>
    <t>Overnight Execution Failure Re-execution in daytime on Bench 09.</t>
  </si>
  <si>
    <t>1. Executed all the preconditions, KPIT_TC_DRT_KEY_013 and postconditions through automation in 3 iterations.
2. Executed all the preconditions, KPIT_TC_DRT_CAT_002 and postconditions through automation in 3 iterations. 
3. Checked the KPIT_TC_DRT_CAT_002 scenario in multiple iterations.</t>
  </si>
  <si>
    <t>Testscript passed in daytime.</t>
  </si>
  <si>
    <t>Flashed Base Build on DRT manual Bench..</t>
  </si>
  <si>
    <t>Base Build is flashed successfully on DRT manual Bench..</t>
  </si>
  <si>
    <t>Flashed Generic SysUcom and CANWhitelist on DRT manual Bench..</t>
  </si>
  <si>
    <t>1. Downloaded the Generic SysUcom and CANWhitelist on system.
2. Extracted the zip files and copied the required files in Pendrive after formating pendrive.
3. Flashed the Generic SysUcom and CANWhitelist on DRT manual Bench..
4. After successful flashing, confirmed the SysUcom and CANWhitelist version on DRT manual Bench..</t>
  </si>
  <si>
    <t>Generic SysUcom and CANWhitelist is flashed successfully on DRT manual Bench..</t>
  </si>
  <si>
    <t>Flashed Latest Dev Build on DRT manual Bench..</t>
  </si>
  <si>
    <t>1. Downloaded the last Dev OTA Build on system.
2. Extracted the build and connected the pendrive to ICB.
3. Flashed the OTA build on DRT manual Bench..
4. After successful flashing, confirmed the software version on DRT manual Bench..</t>
  </si>
  <si>
    <t>Last Dev Build is flashed successfully on DRT manual Bench..</t>
  </si>
  <si>
    <t>1. Executed all the preconditions, testscript and postconditions manually in 3 iterations.
2. Executed all the preconditions, testscript and postconditions through automation in 3 iterations.</t>
  </si>
  <si>
    <t>Recreated Vin number for VIN8888.</t>
  </si>
  <si>
    <t>1. Downloaded the Test Pattern for VIN8888.
2. Created the new Vin number for VIN8888.
3. Uploaded the Test Pattern for VIN8888.
4. Tested the new Vin number is working for 3 iterations.</t>
  </si>
  <si>
    <t>New Vin number VIN8888 is working.</t>
  </si>
  <si>
    <t>Bench 07 KT</t>
  </si>
  <si>
    <t>Incomplete</t>
  </si>
  <si>
    <t>Flashed Base Build on Bench 03.</t>
  </si>
  <si>
    <t>Base Build is flashed successfully on Bench 03.</t>
  </si>
  <si>
    <t>Flashed Generic SysUcom and CANWhitelist on Bench 03.</t>
  </si>
  <si>
    <t>1. Downloaded the Generic SysUcom and CANWhitelist on system.
2. Extracted the zip files and copied the required files in Pendrive after formating pendrive.
3. Flashed the Generic SysUcom and CANWhitelist on Bench 03.
4. After successful flashing, confirmed the SysUcom and CANWhitelist version on Bench 03.</t>
  </si>
  <si>
    <t>Generic SysUcom and CANWhitelist is flashed successfully on Bench 03.</t>
  </si>
  <si>
    <t>Flashed 4th October's Dev Build on Bench 03.</t>
  </si>
  <si>
    <t>1. Downloaded the 4th October's Dev OTA Build on system.
2. Extracted the build and connected the pendrive to ICB.
3. Flashed the OTA build on Bench 03.
4. After successful flashing, confirmed the software version on Bench 03.</t>
  </si>
  <si>
    <t>4th October's Dev  Build is flashed successfully on Bench 03.</t>
  </si>
  <si>
    <t>Taken Logs for Defects.</t>
  </si>
  <si>
    <t>1. Taken logs for defects.</t>
  </si>
  <si>
    <t>Logs are shared with Leads</t>
  </si>
  <si>
    <t>f</t>
  </si>
  <si>
    <t>Bench 09 KT to Buddy.</t>
  </si>
  <si>
    <t>USB Access 
process understanding
will initiate mail
raise ticket for the same</t>
  </si>
  <si>
    <t>ADB Cable and B Type Cable Data for benches</t>
  </si>
  <si>
    <t>Bench 11 Calibration</t>
  </si>
  <si>
    <t>base build</t>
  </si>
  <si>
    <t>cs2 build</t>
  </si>
  <si>
    <t>failure re0executio</t>
  </si>
  <si>
    <t>1511 dev build</t>
  </si>
  <si>
    <t>1811 dev build</t>
  </si>
  <si>
    <t>Sanity</t>
  </si>
  <si>
    <t>HLP KT</t>
  </si>
  <si>
    <t>Calibration of Bench 11</t>
  </si>
  <si>
    <t xml:space="preserve">For 1402 Dev Build </t>
  </si>
  <si>
    <t>Test Script</t>
  </si>
  <si>
    <t xml:space="preserve">Overnight Execution Status </t>
  </si>
  <si>
    <t>Daytime Manual Execution Status</t>
  </si>
  <si>
    <t>Sr. No.</t>
  </si>
  <si>
    <t>Engineer Name</t>
  </si>
  <si>
    <t>Team</t>
  </si>
  <si>
    <t>Laptop Asset ID</t>
  </si>
  <si>
    <t>Chandrakant Bhalekar</t>
  </si>
  <si>
    <t>DRT</t>
  </si>
  <si>
    <t>L-19063</t>
  </si>
  <si>
    <t xml:space="preserve">For 1401 Rel Build </t>
  </si>
  <si>
    <t>Failure Category</t>
  </si>
  <si>
    <t>Failure Sub Category</t>
  </si>
  <si>
    <t>KPIT_TC_DRT_KEY_021</t>
  </si>
  <si>
    <t>TS Issue</t>
  </si>
  <si>
    <t>TS needs modification</t>
  </si>
  <si>
    <t>Fail</t>
  </si>
  <si>
    <t>Pass</t>
  </si>
  <si>
    <t>KPIT_TC_DRT_HLP_058</t>
  </si>
  <si>
    <t>Test_Environment_Issue</t>
  </si>
  <si>
    <t>External Application Issue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</si>
</sst>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h:mm;@"/>
  </numFmts>
  <fonts count="7" x14ac:knownFonts="1">
    <font>
      <sz val="11"/>
      <color theme="1"/>
      <name val="Calibri"/>
      <family val="2"/>
      <scheme val="minor"/>
    </font>
    <font>
      <b/>
      <sz val="11"/>
      <color theme="1"/>
      <name val="Calibri"/>
      <family val="2"/>
      <scheme val="minor"/>
    </font>
    <font>
      <b/>
      <sz val="11"/>
      <color rgb="FFFF0000"/>
      <name val="Calibri"/>
      <family val="2"/>
      <scheme val="minor"/>
    </font>
    <font>
      <b/>
      <sz val="12"/>
      <color rgb="FF000000"/>
      <name val="Aptos"/>
      <family val="2"/>
    </font>
    <font>
      <sz val="12"/>
      <color rgb="FF000000"/>
      <name val="Aptos"/>
      <family val="2"/>
    </font>
    <font>
      <sz val="11"/>
      <color rgb="FFFF0000"/>
      <name val="Calibri"/>
      <family val="2"/>
      <scheme val="minor"/>
    </font>
    <font>
      <sz val="10"/>
      <color rgb="FF000000"/>
      <name val="Aptos"/>
      <family val="2"/>
    </font>
  </fonts>
  <fills count="5">
    <fill>
      <patternFill patternType="none"/>
    </fill>
    <fill>
      <patternFill patternType="gray125"/>
    </fill>
    <fill>
      <patternFill patternType="solid">
        <fgColor theme="5" tint="0.39997558519241921"/>
        <bgColor indexed="64"/>
      </patternFill>
    </fill>
    <fill>
      <patternFill patternType="solid">
        <fgColor theme="5" tint="0.79998168889431442"/>
        <bgColor indexed="64"/>
      </patternFill>
    </fill>
    <fill>
      <patternFill patternType="solid">
        <fgColor rgb="FFFFFFFF"/>
        <bgColor indexed="64"/>
      </patternFill>
    </fill>
  </fills>
  <borders count="32">
    <border>
      <left/>
      <right/>
      <top/>
      <bottom/>
      <diagonal/>
    </border>
    <border>
      <left style="medium">
        <color indexed="64"/>
      </left>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bottom style="thin">
        <color indexed="64"/>
      </bottom>
      <diagonal/>
    </border>
    <border>
      <left/>
      <right style="medium">
        <color indexed="64"/>
      </right>
      <top style="thin">
        <color indexed="64"/>
      </top>
      <bottom style="thin">
        <color indexed="64"/>
      </bottom>
      <diagonal/>
    </border>
    <border>
      <left/>
      <right style="medium">
        <color indexed="64"/>
      </right>
      <top/>
      <bottom style="thin">
        <color indexed="64"/>
      </bottom>
      <diagonal/>
    </border>
    <border>
      <left style="medium">
        <color indexed="64"/>
      </left>
      <right/>
      <top style="thin">
        <color indexed="64"/>
      </top>
      <bottom style="thin">
        <color indexed="64"/>
      </bottom>
      <diagonal/>
    </border>
    <border>
      <left style="medium">
        <color indexed="64"/>
      </left>
      <right style="medium">
        <color indexed="64"/>
      </right>
      <top style="thin">
        <color indexed="64"/>
      </top>
      <bottom style="thin">
        <color indexed="64"/>
      </bottom>
      <diagonal/>
    </border>
    <border>
      <left/>
      <right style="medium">
        <color indexed="64"/>
      </right>
      <top style="thin">
        <color indexed="64"/>
      </top>
      <bottom/>
      <diagonal/>
    </border>
    <border>
      <left style="medium">
        <color indexed="64"/>
      </left>
      <right style="medium">
        <color indexed="64"/>
      </right>
      <top style="thin">
        <color indexed="64"/>
      </top>
      <bottom style="medium">
        <color indexed="64"/>
      </bottom>
      <diagonal/>
    </border>
    <border>
      <left/>
      <right style="medium">
        <color indexed="64"/>
      </right>
      <top style="thin">
        <color indexed="64"/>
      </top>
      <bottom style="medium">
        <color indexed="64"/>
      </bottom>
      <diagonal/>
    </border>
    <border>
      <left/>
      <right style="medium">
        <color indexed="64"/>
      </right>
      <top/>
      <bottom style="medium">
        <color indexed="64"/>
      </bottom>
      <diagonal/>
    </border>
    <border>
      <left style="medium">
        <color indexed="64"/>
      </left>
      <right style="medium">
        <color indexed="64"/>
      </right>
      <top/>
      <bottom style="thin">
        <color indexed="64"/>
      </bottom>
      <diagonal/>
    </border>
    <border>
      <left/>
      <right style="medium">
        <color indexed="64"/>
      </right>
      <top style="medium">
        <color indexed="64"/>
      </top>
      <bottom/>
      <diagonal/>
    </border>
    <border>
      <left style="medium">
        <color indexed="64"/>
      </left>
      <right style="medium">
        <color indexed="64"/>
      </right>
      <top style="medium">
        <color indexed="64"/>
      </top>
      <bottom style="thin">
        <color indexed="64"/>
      </bottom>
      <diagonal/>
    </border>
    <border>
      <left/>
      <right/>
      <top style="medium">
        <color indexed="64"/>
      </top>
      <bottom style="medium">
        <color indexed="64"/>
      </bottom>
      <diagonal/>
    </border>
    <border>
      <left/>
      <right/>
      <top/>
      <bottom style="thin">
        <color auto="1"/>
      </bottom>
      <diagonal/>
    </border>
    <border>
      <left/>
      <right/>
      <top style="thin">
        <color auto="1"/>
      </top>
      <bottom style="thin">
        <color auto="1"/>
      </bottom>
      <diagonal/>
    </border>
    <border>
      <left/>
      <right/>
      <top style="thin">
        <color auto="1"/>
      </top>
      <bottom style="medium">
        <color indexed="64"/>
      </bottom>
      <diagonal/>
    </border>
    <border>
      <left style="medium">
        <color indexed="64"/>
      </left>
      <right style="medium">
        <color indexed="64"/>
      </right>
      <top/>
      <bottom style="medium">
        <color indexed="64"/>
      </bottom>
      <diagonal/>
    </border>
    <border>
      <left style="medium">
        <color indexed="64"/>
      </left>
      <right/>
      <top/>
      <bottom style="medium">
        <color indexed="64"/>
      </bottom>
      <diagonal/>
    </border>
    <border>
      <left/>
      <right/>
      <top/>
      <bottom style="medium">
        <color indexed="64"/>
      </bottom>
      <diagonal/>
    </border>
    <border>
      <left style="medium">
        <color indexed="64"/>
      </left>
      <right style="medium">
        <color indexed="64"/>
      </right>
      <top style="medium">
        <color indexed="64"/>
      </top>
      <bottom/>
      <diagonal/>
    </border>
    <border>
      <left/>
      <right style="medium">
        <color indexed="64"/>
      </right>
      <top style="medium">
        <color indexed="64"/>
      </top>
      <bottom style="thin">
        <color indexed="64"/>
      </bottom>
      <diagonal/>
    </border>
    <border>
      <left style="medium">
        <color indexed="64"/>
      </left>
      <right/>
      <top style="thin">
        <color indexed="64"/>
      </top>
      <bottom style="medium">
        <color indexed="64"/>
      </bottom>
      <diagonal/>
    </border>
    <border>
      <left style="medium">
        <color indexed="64"/>
      </left>
      <right/>
      <top style="medium">
        <color indexed="64"/>
      </top>
      <bottom style="thin">
        <color indexed="64"/>
      </bottom>
      <diagonal/>
    </border>
    <border>
      <left style="medium">
        <color indexed="64"/>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s>
  <cellStyleXfs count="1">
    <xf numFmtId="0" fontId="0" fillId="0" borderId="0"/>
  </cellStyleXfs>
  <cellXfs count="137">
    <xf numFmtId="0" fontId="0" fillId="0" borderId="0" xfId="0"/>
    <xf numFmtId="0" fontId="1" fillId="2" borderId="1" xfId="0" applyFont="1" applyFill="1" applyBorder="1" applyAlignment="1">
      <alignment horizontal="center"/>
    </xf>
    <xf numFmtId="0" fontId="1" fillId="2" borderId="2" xfId="0" applyFont="1" applyFill="1" applyBorder="1" applyAlignment="1">
      <alignment horizontal="center"/>
    </xf>
    <xf numFmtId="0" fontId="1" fillId="2" borderId="3" xfId="0" applyFont="1" applyFill="1" applyBorder="1" applyAlignment="1">
      <alignment horizontal="center"/>
    </xf>
    <xf numFmtId="0" fontId="0" fillId="3" borderId="4" xfId="0" applyFill="1" applyBorder="1" applyAlignment="1">
      <alignment horizontal="center" vertical="center"/>
    </xf>
    <xf numFmtId="164" fontId="0" fillId="3" borderId="5" xfId="0" applyNumberFormat="1" applyFill="1" applyBorder="1"/>
    <xf numFmtId="0" fontId="0" fillId="3" borderId="6" xfId="0" applyFill="1" applyBorder="1"/>
    <xf numFmtId="0" fontId="0" fillId="3" borderId="7" xfId="0" applyFill="1" applyBorder="1" applyAlignment="1">
      <alignment wrapText="1"/>
    </xf>
    <xf numFmtId="164" fontId="0" fillId="3" borderId="8" xfId="0" applyNumberFormat="1" applyFill="1" applyBorder="1"/>
    <xf numFmtId="164" fontId="0" fillId="3" borderId="9" xfId="0" applyNumberFormat="1" applyFill="1" applyBorder="1"/>
    <xf numFmtId="164" fontId="0" fillId="3" borderId="10" xfId="0" applyNumberFormat="1" applyFill="1" applyBorder="1"/>
    <xf numFmtId="164" fontId="0" fillId="3" borderId="11" xfId="0" applyNumberFormat="1" applyFill="1" applyBorder="1"/>
    <xf numFmtId="0" fontId="1" fillId="3" borderId="1" xfId="0" applyFont="1" applyFill="1" applyBorder="1" applyAlignment="1">
      <alignment horizontal="center"/>
    </xf>
    <xf numFmtId="0" fontId="1" fillId="3" borderId="2" xfId="0" applyFont="1" applyFill="1" applyBorder="1" applyAlignment="1">
      <alignment wrapText="1"/>
    </xf>
    <xf numFmtId="164" fontId="1" fillId="3" borderId="12" xfId="0" applyNumberFormat="1" applyFont="1" applyFill="1" applyBorder="1" applyAlignment="1">
      <alignment wrapText="1"/>
    </xf>
    <xf numFmtId="164" fontId="1" fillId="3" borderId="3" xfId="0" applyNumberFormat="1" applyFont="1" applyFill="1" applyBorder="1"/>
    <xf numFmtId="0" fontId="0" fillId="3" borderId="2" xfId="0" applyFill="1" applyBorder="1"/>
    <xf numFmtId="0" fontId="0" fillId="3" borderId="4" xfId="0" applyFill="1" applyBorder="1" applyAlignment="1">
      <alignment wrapText="1"/>
    </xf>
    <xf numFmtId="164" fontId="0" fillId="3" borderId="13" xfId="0" applyNumberFormat="1" applyFill="1" applyBorder="1"/>
    <xf numFmtId="164" fontId="0" fillId="3" borderId="6" xfId="0" applyNumberFormat="1" applyFill="1" applyBorder="1"/>
    <xf numFmtId="164" fontId="1" fillId="2" borderId="3" xfId="0" applyNumberFormat="1" applyFont="1" applyFill="1" applyBorder="1" applyAlignment="1">
      <alignment horizontal="center"/>
    </xf>
    <xf numFmtId="164" fontId="1" fillId="2" borderId="14" xfId="0" applyNumberFormat="1" applyFont="1" applyFill="1" applyBorder="1" applyAlignment="1">
      <alignment horizontal="center"/>
    </xf>
    <xf numFmtId="164" fontId="0" fillId="3" borderId="15" xfId="0" applyNumberFormat="1" applyFill="1" applyBorder="1"/>
    <xf numFmtId="0" fontId="0" fillId="3" borderId="15" xfId="0" applyFill="1" applyBorder="1" applyAlignment="1">
      <alignment wrapText="1"/>
    </xf>
    <xf numFmtId="0" fontId="0" fillId="3" borderId="8" xfId="0" applyFill="1" applyBorder="1" applyAlignment="1">
      <alignment wrapText="1"/>
    </xf>
    <xf numFmtId="0" fontId="2" fillId="3" borderId="7" xfId="0" applyFont="1" applyFill="1" applyBorder="1" applyAlignment="1">
      <alignment wrapText="1"/>
    </xf>
    <xf numFmtId="164" fontId="1" fillId="3" borderId="2" xfId="0" applyNumberFormat="1" applyFont="1" applyFill="1" applyBorder="1" applyAlignment="1">
      <alignment wrapText="1"/>
    </xf>
    <xf numFmtId="164" fontId="1" fillId="2" borderId="2" xfId="0" applyNumberFormat="1" applyFont="1" applyFill="1" applyBorder="1" applyAlignment="1">
      <alignment horizontal="center"/>
    </xf>
    <xf numFmtId="0" fontId="4" fillId="4" borderId="21" xfId="0" applyFont="1" applyFill="1" applyBorder="1" applyAlignment="1">
      <alignment horizontal="center" vertical="center" wrapText="1"/>
    </xf>
    <xf numFmtId="0" fontId="4" fillId="4" borderId="20" xfId="0" applyFont="1" applyFill="1" applyBorder="1" applyAlignment="1">
      <alignment horizontal="center" vertical="center" wrapText="1"/>
    </xf>
    <xf numFmtId="0" fontId="4" fillId="4" borderId="22" xfId="0" applyFont="1" applyFill="1" applyBorder="1" applyAlignment="1">
      <alignment horizontal="center" vertical="center" wrapText="1"/>
    </xf>
    <xf numFmtId="0" fontId="3" fillId="4" borderId="1" xfId="0" applyFont="1" applyFill="1" applyBorder="1" applyAlignment="1">
      <alignment horizontal="center" vertical="center" wrapText="1"/>
    </xf>
    <xf numFmtId="0" fontId="3" fillId="4" borderId="2" xfId="0" applyFont="1" applyFill="1" applyBorder="1" applyAlignment="1">
      <alignment horizontal="center" vertical="center" wrapText="1"/>
    </xf>
    <xf numFmtId="0" fontId="3" fillId="4" borderId="16" xfId="0" applyFont="1" applyFill="1" applyBorder="1" applyAlignment="1">
      <alignment horizontal="center" vertical="center" wrapText="1"/>
    </xf>
    <xf numFmtId="0" fontId="1" fillId="2" borderId="1" xfId="0" applyFont="1" applyFill="1" applyBorder="1" applyAlignment="1">
      <alignment horizontal="left" indent="1"/>
    </xf>
    <xf numFmtId="0" fontId="1" fillId="2" borderId="2" xfId="0" applyFont="1" applyFill="1" applyBorder="1" applyAlignment="1">
      <alignment horizontal="left" indent="1"/>
    </xf>
    <xf numFmtId="164" fontId="1" fillId="2" borderId="16" xfId="0" applyNumberFormat="1" applyFont="1" applyFill="1" applyBorder="1" applyAlignment="1">
      <alignment horizontal="left" indent="1"/>
    </xf>
    <xf numFmtId="164" fontId="1" fillId="2" borderId="2" xfId="0" applyNumberFormat="1" applyFont="1" applyFill="1" applyBorder="1" applyAlignment="1">
      <alignment horizontal="left" indent="1"/>
    </xf>
    <xf numFmtId="0" fontId="0" fillId="3" borderId="15" xfId="0" applyFill="1" applyBorder="1" applyAlignment="1">
      <alignment horizontal="left" vertical="top" indent="1"/>
    </xf>
    <xf numFmtId="0" fontId="0" fillId="3" borderId="13" xfId="0" applyFill="1" applyBorder="1" applyAlignment="1">
      <alignment horizontal="left" vertical="top" indent="1"/>
    </xf>
    <xf numFmtId="0" fontId="0" fillId="3" borderId="17" xfId="0" applyFill="1" applyBorder="1" applyAlignment="1">
      <alignment horizontal="left" indent="1"/>
    </xf>
    <xf numFmtId="20" fontId="0" fillId="3" borderId="13" xfId="0" applyNumberFormat="1" applyFill="1" applyBorder="1" applyAlignment="1">
      <alignment horizontal="left" vertical="top" indent="1"/>
    </xf>
    <xf numFmtId="0" fontId="0" fillId="3" borderId="8" xfId="0" applyFill="1" applyBorder="1" applyAlignment="1">
      <alignment horizontal="left" vertical="top" indent="1"/>
    </xf>
    <xf numFmtId="0" fontId="0" fillId="3" borderId="18" xfId="0" applyFill="1" applyBorder="1" applyAlignment="1">
      <alignment horizontal="left" indent="1"/>
    </xf>
    <xf numFmtId="20" fontId="0" fillId="3" borderId="8" xfId="0" applyNumberFormat="1" applyFill="1" applyBorder="1" applyAlignment="1">
      <alignment horizontal="left" vertical="top" indent="1"/>
    </xf>
    <xf numFmtId="0" fontId="0" fillId="3" borderId="10" xfId="0" applyFill="1" applyBorder="1" applyAlignment="1">
      <alignment horizontal="left" vertical="top" indent="1"/>
    </xf>
    <xf numFmtId="0" fontId="0" fillId="3" borderId="19" xfId="0" applyFill="1" applyBorder="1" applyAlignment="1">
      <alignment horizontal="left" indent="1"/>
    </xf>
    <xf numFmtId="20" fontId="0" fillId="3" borderId="10" xfId="0" applyNumberFormat="1" applyFill="1" applyBorder="1" applyAlignment="1">
      <alignment horizontal="left" vertical="top" indent="1"/>
    </xf>
    <xf numFmtId="0" fontId="0" fillId="3" borderId="4" xfId="0" applyFill="1" applyBorder="1" applyAlignment="1">
      <alignment horizontal="left" vertical="top" indent="1"/>
    </xf>
    <xf numFmtId="0" fontId="0" fillId="3" borderId="7" xfId="0" applyFill="1" applyBorder="1" applyAlignment="1">
      <alignment horizontal="left" vertical="top" indent="1"/>
    </xf>
    <xf numFmtId="20" fontId="0" fillId="3" borderId="6" xfId="0" applyNumberFormat="1" applyFill="1" applyBorder="1" applyAlignment="1">
      <alignment horizontal="left" vertical="top" indent="1"/>
    </xf>
    <xf numFmtId="20" fontId="0" fillId="3" borderId="5" xfId="0" applyNumberFormat="1" applyFill="1" applyBorder="1" applyAlignment="1">
      <alignment horizontal="left" vertical="top" indent="1"/>
    </xf>
    <xf numFmtId="0" fontId="0" fillId="3" borderId="17" xfId="0" applyFill="1" applyBorder="1" applyAlignment="1">
      <alignment horizontal="center" vertical="center"/>
    </xf>
    <xf numFmtId="0" fontId="1" fillId="2" borderId="23" xfId="0" applyFont="1" applyFill="1" applyBorder="1" applyAlignment="1">
      <alignment horizontal="center"/>
    </xf>
    <xf numFmtId="0" fontId="0" fillId="3" borderId="20" xfId="0" applyFill="1" applyBorder="1"/>
    <xf numFmtId="0" fontId="0" fillId="3" borderId="8" xfId="0" applyFill="1" applyBorder="1"/>
    <xf numFmtId="164" fontId="1" fillId="2" borderId="23" xfId="0" applyNumberFormat="1" applyFont="1" applyFill="1" applyBorder="1" applyAlignment="1">
      <alignment horizontal="center"/>
    </xf>
    <xf numFmtId="20" fontId="0" fillId="3" borderId="18" xfId="0" applyNumberFormat="1" applyFill="1" applyBorder="1" applyAlignment="1">
      <alignment horizontal="left" vertical="top" indent="1"/>
    </xf>
    <xf numFmtId="164" fontId="0" fillId="3" borderId="24" xfId="0" applyNumberFormat="1" applyFill="1" applyBorder="1"/>
    <xf numFmtId="164" fontId="1" fillId="3" borderId="20" xfId="0" applyNumberFormat="1" applyFont="1" applyFill="1" applyBorder="1" applyAlignment="1">
      <alignment wrapText="1"/>
    </xf>
    <xf numFmtId="20" fontId="0" fillId="0" borderId="0" xfId="0" applyNumberFormat="1"/>
    <xf numFmtId="0" fontId="0" fillId="3" borderId="17" xfId="0" applyFill="1" applyBorder="1" applyAlignment="1">
      <alignment horizontal="center" vertical="top"/>
    </xf>
    <xf numFmtId="0" fontId="0" fillId="3" borderId="18" xfId="0" applyFill="1" applyBorder="1" applyAlignment="1">
      <alignment horizontal="center" vertical="top"/>
    </xf>
    <xf numFmtId="0" fontId="0" fillId="3" borderId="19" xfId="0" applyFill="1" applyBorder="1" applyAlignment="1">
      <alignment horizontal="center" vertical="top"/>
    </xf>
    <xf numFmtId="20" fontId="1" fillId="3" borderId="1" xfId="0" applyNumberFormat="1" applyFont="1" applyFill="1" applyBorder="1" applyAlignment="1">
      <alignment horizontal="center"/>
    </xf>
    <xf numFmtId="0" fontId="0" fillId="3" borderId="25" xfId="0" applyFill="1" applyBorder="1" applyAlignment="1">
      <alignment horizontal="left" vertical="top" indent="1"/>
    </xf>
    <xf numFmtId="0" fontId="0" fillId="3" borderId="21" xfId="0" applyFill="1" applyBorder="1" applyAlignment="1">
      <alignment horizontal="center" vertical="center"/>
    </xf>
    <xf numFmtId="20" fontId="0" fillId="3" borderId="11" xfId="0" applyNumberFormat="1" applyFill="1" applyBorder="1" applyAlignment="1">
      <alignment horizontal="left" vertical="top" indent="1"/>
    </xf>
    <xf numFmtId="0" fontId="0" fillId="3" borderId="18" xfId="0" applyFill="1" applyBorder="1" applyAlignment="1">
      <alignment horizontal="left" wrapText="1" indent="1"/>
    </xf>
    <xf numFmtId="164" fontId="0" fillId="3" borderId="26" xfId="0" applyNumberFormat="1" applyFill="1" applyBorder="1"/>
    <xf numFmtId="164" fontId="0" fillId="3" borderId="7" xfId="0" applyNumberFormat="1" applyFill="1" applyBorder="1"/>
    <xf numFmtId="164" fontId="0" fillId="3" borderId="25" xfId="0" applyNumberFormat="1" applyFill="1" applyBorder="1"/>
    <xf numFmtId="0" fontId="5" fillId="3" borderId="8" xfId="0" applyFont="1" applyFill="1" applyBorder="1" applyAlignment="1">
      <alignment horizontal="left" vertical="top" indent="1"/>
    </xf>
    <xf numFmtId="0" fontId="0" fillId="3" borderId="20" xfId="0" applyFill="1" applyBorder="1" applyAlignment="1">
      <alignment horizontal="left" vertical="top" indent="1"/>
    </xf>
    <xf numFmtId="0" fontId="0" fillId="3" borderId="22" xfId="0" applyFill="1" applyBorder="1" applyAlignment="1">
      <alignment horizontal="left" indent="1"/>
    </xf>
    <xf numFmtId="0" fontId="0" fillId="3" borderId="21" xfId="0" applyFill="1" applyBorder="1" applyAlignment="1">
      <alignment horizontal="left" vertical="top" indent="1"/>
    </xf>
    <xf numFmtId="0" fontId="1" fillId="2" borderId="23" xfId="0" applyFont="1" applyFill="1" applyBorder="1" applyAlignment="1">
      <alignment horizontal="left" indent="1"/>
    </xf>
    <xf numFmtId="0" fontId="0" fillId="3" borderId="4" xfId="0" applyFill="1" applyBorder="1" applyAlignment="1">
      <alignment horizontal="left" vertical="center" indent="1"/>
    </xf>
    <xf numFmtId="0" fontId="0" fillId="3" borderId="21" xfId="0" applyFill="1" applyBorder="1" applyAlignment="1">
      <alignment horizontal="left" vertical="center" indent="1"/>
    </xf>
    <xf numFmtId="0" fontId="1" fillId="2" borderId="2" xfId="0" applyFont="1" applyFill="1" applyBorder="1" applyAlignment="1">
      <alignment horizontal="left"/>
    </xf>
    <xf numFmtId="164" fontId="1" fillId="2" borderId="16" xfId="0" applyNumberFormat="1" applyFont="1" applyFill="1" applyBorder="1" applyAlignment="1">
      <alignment horizontal="left"/>
    </xf>
    <xf numFmtId="164" fontId="1" fillId="2" borderId="2" xfId="0" applyNumberFormat="1" applyFont="1" applyFill="1" applyBorder="1" applyAlignment="1">
      <alignment horizontal="left"/>
    </xf>
    <xf numFmtId="0" fontId="0" fillId="3" borderId="13" xfId="0" applyFill="1" applyBorder="1" applyAlignment="1">
      <alignment horizontal="left" vertical="top"/>
    </xf>
    <xf numFmtId="20" fontId="0" fillId="3" borderId="6" xfId="0" applyNumberFormat="1" applyFill="1" applyBorder="1" applyAlignment="1">
      <alignment horizontal="left" vertical="top"/>
    </xf>
    <xf numFmtId="0" fontId="0" fillId="3" borderId="8" xfId="0" applyFill="1" applyBorder="1" applyAlignment="1">
      <alignment horizontal="left" vertical="top"/>
    </xf>
    <xf numFmtId="20" fontId="0" fillId="3" borderId="5" xfId="0" applyNumberFormat="1" applyFill="1" applyBorder="1" applyAlignment="1">
      <alignment horizontal="left" vertical="top"/>
    </xf>
    <xf numFmtId="20" fontId="0" fillId="3" borderId="18" xfId="0" applyNumberFormat="1" applyFill="1" applyBorder="1" applyAlignment="1">
      <alignment horizontal="left" vertical="top"/>
    </xf>
    <xf numFmtId="0" fontId="5" fillId="3" borderId="8" xfId="0" applyFont="1" applyFill="1" applyBorder="1" applyAlignment="1">
      <alignment horizontal="left" vertical="top"/>
    </xf>
    <xf numFmtId="164" fontId="1" fillId="3" borderId="20" xfId="0" applyNumberFormat="1" applyFont="1" applyFill="1" applyBorder="1"/>
    <xf numFmtId="164" fontId="1" fillId="3" borderId="12" xfId="0" applyNumberFormat="1" applyFont="1" applyFill="1" applyBorder="1"/>
    <xf numFmtId="164" fontId="1" fillId="3" borderId="2" xfId="0" applyNumberFormat="1" applyFont="1" applyFill="1" applyBorder="1"/>
    <xf numFmtId="0" fontId="3" fillId="4" borderId="27" xfId="0" applyFont="1" applyFill="1" applyBorder="1" applyAlignment="1">
      <alignment horizontal="center" vertical="center" wrapText="1"/>
    </xf>
    <xf numFmtId="0" fontId="0" fillId="0" borderId="28" xfId="0" applyBorder="1"/>
    <xf numFmtId="0" fontId="0" fillId="0" borderId="29" xfId="0" applyBorder="1"/>
    <xf numFmtId="0" fontId="0" fillId="0" borderId="30" xfId="0" applyBorder="1"/>
    <xf numFmtId="0" fontId="0" fillId="0" borderId="31" xfId="0" applyBorder="1"/>
    <xf numFmtId="0" fontId="0" fillId="0" borderId="2" xfId="0" applyBorder="1"/>
    <xf numFmtId="0" fontId="0" fillId="0" borderId="13" xfId="0" applyBorder="1"/>
    <xf numFmtId="0" fontId="0" fillId="0" borderId="10" xfId="0" applyBorder="1"/>
    <xf numFmtId="0" fontId="0" fillId="0" borderId="16" xfId="0" applyBorder="1"/>
    <xf numFmtId="0" fontId="1" fillId="0" borderId="17" xfId="0" applyFont="1" applyBorder="1"/>
    <xf numFmtId="0" fontId="1" fillId="0" borderId="19" xfId="0" applyFont="1" applyBorder="1"/>
    <xf numFmtId="0" fontId="0" fillId="0" borderId="17" xfId="0" applyBorder="1"/>
    <xf numFmtId="0" fontId="0" fillId="0" borderId="19" xfId="0" applyBorder="1"/>
    <xf numFmtId="0" fontId="6" fillId="0" borderId="2" xfId="0" applyFont="1" applyBorder="1"/>
    <xf numFmtId="0" fontId="0" fillId="0" borderId="20" xfId="0" applyBorder="1"/>
    <xf numFmtId="0" fontId="0" fillId="0" borderId="22" xfId="0" applyBorder="1"/>
    <xf numFmtId="0" fontId="0" fillId="0" borderId="3" xfId="0" applyBorder="1"/>
    <xf numFmtId="0" fontId="0" fillId="0" borderId="12" xfId="0" applyBorder="1"/>
    <xf numFmtId="0" fontId="6" fillId="0" borderId="2" xfId="0" applyFont="1" applyBorder="1" applyAlignment="1">
      <alignment horizontal="center" vertical="center"/>
    </xf>
    <xf numFmtId="0" fontId="0" fillId="0" borderId="2" xfId="0" applyBorder="1" applyAlignment="1">
      <alignment horizontal="center" vertical="center"/>
    </xf>
    <xf numFmtId="0" fontId="0" fillId="0" borderId="3" xfId="0" applyBorder="1" applyAlignment="1">
      <alignment horizontal="center" vertical="center"/>
    </xf>
    <xf numFmtId="0" fontId="0" fillId="0" borderId="20" xfId="0" applyBorder="1" applyAlignment="1">
      <alignment horizontal="center"/>
    </xf>
    <xf numFmtId="0" fontId="0" fillId="0" borderId="12" xfId="0" applyBorder="1" applyAlignment="1">
      <alignment horizontal="center"/>
    </xf>
    <xf numFmtId="0" fontId="0" fillId="0" borderId="16" xfId="0" applyBorder="1" applyAlignment="1">
      <alignment horizontal="left"/>
    </xf>
    <xf numFmtId="0" fontId="0" fillId="0" borderId="0" xfId="0" applyAlignment="1">
      <alignment horizontal="left"/>
    </xf>
    <xf numFmtId="0" fontId="0" fillId="0" borderId="22" xfId="0" applyBorder="1" applyAlignment="1">
      <alignment horizontal="left"/>
    </xf>
    <xf numFmtId="0" fontId="2" fillId="3" borderId="8" xfId="0" applyFont="1" applyFill="1" applyBorder="1" applyAlignment="1">
      <alignment horizontal="left" vertical="top"/>
    </xf>
    <xf numFmtId="0" fontId="5" fillId="3" borderId="17" xfId="0" applyFont="1" applyFill="1" applyBorder="1" applyAlignment="1">
      <alignment horizontal="left"/>
    </xf>
    <xf numFmtId="0" fontId="5" fillId="3" borderId="4" xfId="0" applyFont="1" applyFill="1" applyBorder="1" applyAlignment="1">
      <alignment horizontal="left" vertical="top"/>
    </xf>
    <xf numFmtId="0" fontId="5" fillId="3" borderId="15" xfId="0" applyFont="1" applyFill="1" applyBorder="1" applyAlignment="1">
      <alignment horizontal="left" vertical="top"/>
    </xf>
    <xf numFmtId="20" fontId="5" fillId="3" borderId="6" xfId="0" applyNumberFormat="1" applyFont="1" applyFill="1" applyBorder="1" applyAlignment="1">
      <alignment horizontal="left" vertical="top"/>
    </xf>
    <xf numFmtId="164" fontId="5" fillId="3" borderId="15" xfId="0" applyNumberFormat="1" applyFont="1" applyFill="1" applyBorder="1"/>
    <xf numFmtId="164" fontId="5" fillId="3" borderId="24" xfId="0" applyNumberFormat="1" applyFont="1" applyFill="1" applyBorder="1"/>
    <xf numFmtId="164" fontId="5" fillId="3" borderId="5" xfId="0" applyNumberFormat="1" applyFont="1" applyFill="1" applyBorder="1"/>
    <xf numFmtId="0" fontId="5" fillId="3" borderId="18" xfId="0" applyFont="1" applyFill="1" applyBorder="1" applyAlignment="1">
      <alignment horizontal="left"/>
    </xf>
    <xf numFmtId="0" fontId="5" fillId="3" borderId="7" xfId="0" applyFont="1" applyFill="1" applyBorder="1" applyAlignment="1">
      <alignment horizontal="left" vertical="top"/>
    </xf>
    <xf numFmtId="20" fontId="5" fillId="3" borderId="5" xfId="0" applyNumberFormat="1" applyFont="1" applyFill="1" applyBorder="1" applyAlignment="1">
      <alignment horizontal="left" vertical="top"/>
    </xf>
    <xf numFmtId="164" fontId="5" fillId="3" borderId="8" xfId="0" applyNumberFormat="1" applyFont="1" applyFill="1" applyBorder="1"/>
    <xf numFmtId="20" fontId="5" fillId="3" borderId="18" xfId="0" applyNumberFormat="1" applyFont="1" applyFill="1" applyBorder="1" applyAlignment="1">
      <alignment horizontal="left" vertical="top"/>
    </xf>
    <xf numFmtId="0" fontId="5" fillId="3" borderId="4" xfId="0" applyFont="1" applyFill="1" applyBorder="1" applyAlignment="1">
      <alignment horizontal="center" vertical="center"/>
    </xf>
    <xf numFmtId="0" fontId="5" fillId="3" borderId="8" xfId="0" applyFont="1" applyFill="1" applyBorder="1"/>
    <xf numFmtId="0" fontId="5" fillId="3" borderId="17" xfId="0" applyFont="1" applyFill="1" applyBorder="1" applyAlignment="1">
      <alignment horizontal="center" vertical="center"/>
    </xf>
    <xf numFmtId="164" fontId="5" fillId="3" borderId="9" xfId="0" applyNumberFormat="1" applyFont="1" applyFill="1" applyBorder="1"/>
    <xf numFmtId="164" fontId="5" fillId="3" borderId="10" xfId="0" applyNumberFormat="1" applyFont="1" applyFill="1" applyBorder="1"/>
    <xf numFmtId="164" fontId="5" fillId="3" borderId="11" xfId="0" applyNumberFormat="1" applyFont="1" applyFill="1" applyBorder="1"/>
    <xf numFmtId="0" fontId="5" fillId="3" borderId="13" xfId="0" applyFont="1" applyFill="1" applyBorder="1" applyAlignment="1">
      <alignment horizontal="left" vertical="top"/>
    </xf>
  </cellXfs>
  <cellStyles count="1">
    <cellStyle name="Normal" xfId="0" builtinId="0"/>
  </cellStyles>
  <dxfs count="44">
    <dxf>
      <font>
        <color rgb="FF9C0006"/>
      </font>
      <fill>
        <patternFill>
          <bgColor rgb="FFFFC7CE"/>
        </patternFill>
      </fill>
    </dxf>
    <dxf>
      <font>
        <color rgb="FF9C0006"/>
      </font>
      <fill>
        <patternFill>
          <bgColor rgb="FFFFC7CE"/>
        </patternFill>
      </fill>
    </dxf>
    <dxf>
      <fill>
        <patternFill>
          <bgColor rgb="FF92D050"/>
        </patternFill>
      </fill>
    </dxf>
    <dxf>
      <fill>
        <patternFill>
          <bgColor rgb="FFFFC000"/>
        </patternFill>
      </fill>
    </dxf>
    <dxf>
      <fill>
        <patternFill>
          <bgColor rgb="FFFFFF00"/>
        </patternFill>
      </fill>
    </dxf>
    <dxf>
      <fill>
        <patternFill>
          <bgColor rgb="FF92D050"/>
        </patternFill>
      </fill>
    </dxf>
    <dxf>
      <fill>
        <patternFill>
          <bgColor rgb="FFFFC000"/>
        </patternFill>
      </fill>
    </dxf>
    <dxf>
      <fill>
        <patternFill>
          <bgColor rgb="FFFFFF00"/>
        </patternFill>
      </fill>
    </dxf>
    <dxf>
      <fill>
        <patternFill>
          <bgColor rgb="FF92D050"/>
        </patternFill>
      </fill>
    </dxf>
    <dxf>
      <fill>
        <patternFill>
          <bgColor rgb="FFFFC000"/>
        </patternFill>
      </fill>
    </dxf>
    <dxf>
      <fill>
        <patternFill>
          <bgColor rgb="FFFFFF00"/>
        </patternFill>
      </fill>
    </dxf>
    <dxf>
      <fill>
        <patternFill>
          <bgColor rgb="FF92D050"/>
        </patternFill>
      </fill>
    </dxf>
    <dxf>
      <fill>
        <patternFill>
          <bgColor rgb="FFFFC000"/>
        </patternFill>
      </fill>
    </dxf>
    <dxf>
      <fill>
        <patternFill>
          <bgColor rgb="FFFFFF00"/>
        </patternFill>
      </fill>
    </dxf>
    <dxf>
      <fill>
        <patternFill>
          <bgColor rgb="FF92D050"/>
        </patternFill>
      </fill>
    </dxf>
    <dxf>
      <fill>
        <patternFill>
          <bgColor rgb="FFFFC000"/>
        </patternFill>
      </fill>
    </dxf>
    <dxf>
      <fill>
        <patternFill>
          <bgColor rgb="FFFFFF00"/>
        </patternFill>
      </fill>
    </dxf>
    <dxf>
      <fill>
        <patternFill>
          <bgColor rgb="FF92D050"/>
        </patternFill>
      </fill>
    </dxf>
    <dxf>
      <fill>
        <patternFill>
          <bgColor rgb="FFFFC000"/>
        </patternFill>
      </fill>
    </dxf>
    <dxf>
      <fill>
        <patternFill>
          <bgColor rgb="FFFFFF00"/>
        </patternFill>
      </fill>
    </dxf>
    <dxf>
      <fill>
        <patternFill>
          <bgColor rgb="FF92D050"/>
        </patternFill>
      </fill>
    </dxf>
    <dxf>
      <fill>
        <patternFill>
          <bgColor rgb="FFFFC000"/>
        </patternFill>
      </fill>
    </dxf>
    <dxf>
      <fill>
        <patternFill>
          <bgColor rgb="FFFFFF00"/>
        </patternFill>
      </fill>
    </dxf>
    <dxf>
      <fill>
        <patternFill>
          <bgColor rgb="FF92D050"/>
        </patternFill>
      </fill>
    </dxf>
    <dxf>
      <fill>
        <patternFill>
          <bgColor rgb="FFFFC000"/>
        </patternFill>
      </fill>
    </dxf>
    <dxf>
      <fill>
        <patternFill>
          <bgColor rgb="FFFFFF00"/>
        </patternFill>
      </fill>
    </dxf>
    <dxf>
      <fill>
        <patternFill>
          <bgColor rgb="FF92D050"/>
        </patternFill>
      </fill>
    </dxf>
    <dxf>
      <fill>
        <patternFill>
          <bgColor rgb="FFFFC000"/>
        </patternFill>
      </fill>
    </dxf>
    <dxf>
      <fill>
        <patternFill>
          <bgColor rgb="FFFFFF00"/>
        </patternFill>
      </fill>
    </dxf>
    <dxf>
      <fill>
        <patternFill>
          <bgColor rgb="FF92D050"/>
        </patternFill>
      </fill>
    </dxf>
    <dxf>
      <fill>
        <patternFill>
          <bgColor rgb="FFFFC000"/>
        </patternFill>
      </fill>
    </dxf>
    <dxf>
      <fill>
        <patternFill>
          <bgColor rgb="FFFFFF00"/>
        </patternFill>
      </fill>
    </dxf>
    <dxf>
      <fill>
        <patternFill>
          <bgColor rgb="FF92D050"/>
        </patternFill>
      </fill>
    </dxf>
    <dxf>
      <fill>
        <patternFill>
          <bgColor rgb="FFFFC000"/>
        </patternFill>
      </fill>
    </dxf>
    <dxf>
      <fill>
        <patternFill>
          <bgColor rgb="FFFFFF00"/>
        </patternFill>
      </fill>
    </dxf>
    <dxf>
      <fill>
        <patternFill>
          <bgColor rgb="FF92D050"/>
        </patternFill>
      </fill>
    </dxf>
    <dxf>
      <fill>
        <patternFill>
          <bgColor rgb="FFFFC000"/>
        </patternFill>
      </fill>
    </dxf>
    <dxf>
      <fill>
        <patternFill>
          <bgColor rgb="FFFFFF00"/>
        </patternFill>
      </fill>
    </dxf>
    <dxf>
      <fill>
        <patternFill>
          <bgColor rgb="FF92D050"/>
        </patternFill>
      </fill>
    </dxf>
    <dxf>
      <fill>
        <patternFill>
          <bgColor rgb="FFFFC000"/>
        </patternFill>
      </fill>
    </dxf>
    <dxf>
      <fill>
        <patternFill>
          <bgColor rgb="FFFFFF00"/>
        </patternFill>
      </fill>
    </dxf>
    <dxf>
      <fill>
        <patternFill>
          <bgColor rgb="FF92D050"/>
        </patternFill>
      </fill>
    </dxf>
    <dxf>
      <fill>
        <patternFill>
          <bgColor rgb="FFFFC000"/>
        </patternFill>
      </fill>
    </dxf>
    <dxf>
      <fill>
        <patternFill>
          <bgColor rgb="FFFFFF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22"/>
  <sheetViews>
    <sheetView workbookViewId="0">
      <selection activeCell="B13" sqref="A1:G22"/>
    </sheetView>
  </sheetViews>
  <sheetFormatPr defaultRowHeight="14.4" x14ac:dyDescent="0.3"/>
  <cols>
    <col min="2" max="2" width="53.109375" customWidth="1"/>
    <col min="3" max="4" width="10.21875" customWidth="1"/>
    <col min="5" max="5" width="12.44140625" bestFit="1" customWidth="1"/>
    <col min="6" max="6" width="10.88671875" bestFit="1" customWidth="1"/>
    <col min="7" max="7" width="12.33203125" customWidth="1"/>
  </cols>
  <sheetData>
    <row r="1" spans="1:7" ht="15" customHeight="1" thickBot="1" x14ac:dyDescent="0.35">
      <c r="A1" s="1" t="s">
        <v>0</v>
      </c>
      <c r="B1" s="2" t="s">
        <v>1</v>
      </c>
      <c r="C1" s="21" t="s">
        <v>2</v>
      </c>
      <c r="D1" s="27" t="s">
        <v>3</v>
      </c>
      <c r="E1" s="27" t="s">
        <v>4</v>
      </c>
      <c r="F1" s="3" t="s">
        <v>5</v>
      </c>
      <c r="G1" s="2" t="s">
        <v>6</v>
      </c>
    </row>
    <row r="2" spans="1:7" x14ac:dyDescent="0.3">
      <c r="A2" s="4">
        <f t="shared" ref="A2:A21" si="0">ROW() - ROW($A$1)</f>
        <v>1</v>
      </c>
      <c r="B2" s="23" t="s">
        <v>7</v>
      </c>
      <c r="C2" s="22"/>
      <c r="D2" s="19"/>
      <c r="E2" s="19">
        <v>1.388888888888889E-2</v>
      </c>
      <c r="F2" s="5">
        <f t="shared" ref="F2:F21" si="1">D2-C2</f>
        <v>0</v>
      </c>
      <c r="G2" s="6"/>
    </row>
    <row r="3" spans="1:7" x14ac:dyDescent="0.3">
      <c r="A3" s="4">
        <f t="shared" si="0"/>
        <v>2</v>
      </c>
      <c r="B3" s="7" t="s">
        <v>8</v>
      </c>
      <c r="C3" s="8"/>
      <c r="D3" s="5"/>
      <c r="E3" s="5">
        <v>1.7361111111111108E-2</v>
      </c>
      <c r="F3" s="5">
        <f t="shared" si="1"/>
        <v>0</v>
      </c>
      <c r="G3" s="6"/>
    </row>
    <row r="4" spans="1:7" x14ac:dyDescent="0.3">
      <c r="A4" s="4">
        <f t="shared" si="0"/>
        <v>3</v>
      </c>
      <c r="B4" s="24" t="s">
        <v>9</v>
      </c>
      <c r="C4" s="8"/>
      <c r="D4" s="5"/>
      <c r="E4" s="5">
        <v>6.9444444444444441E-3</v>
      </c>
      <c r="F4" s="5">
        <f t="shared" si="1"/>
        <v>0</v>
      </c>
      <c r="G4" s="6"/>
    </row>
    <row r="5" spans="1:7" x14ac:dyDescent="0.3">
      <c r="A5" s="4">
        <f t="shared" si="0"/>
        <v>4</v>
      </c>
      <c r="B5" s="7" t="s">
        <v>10</v>
      </c>
      <c r="C5" s="8"/>
      <c r="D5" s="5"/>
      <c r="E5" s="5">
        <v>4.1666666666666657E-2</v>
      </c>
      <c r="F5" s="5">
        <f t="shared" si="1"/>
        <v>0</v>
      </c>
      <c r="G5" s="6"/>
    </row>
    <row r="6" spans="1:7" x14ac:dyDescent="0.3">
      <c r="A6" s="4">
        <f t="shared" si="0"/>
        <v>5</v>
      </c>
      <c r="B6" s="7"/>
      <c r="C6" s="8"/>
      <c r="D6" s="5"/>
      <c r="E6" s="5"/>
      <c r="F6" s="5">
        <f t="shared" si="1"/>
        <v>0</v>
      </c>
      <c r="G6" s="6"/>
    </row>
    <row r="7" spans="1:7" x14ac:dyDescent="0.3">
      <c r="A7" s="4">
        <f t="shared" si="0"/>
        <v>6</v>
      </c>
      <c r="B7" s="7"/>
      <c r="C7" s="8"/>
      <c r="D7" s="5"/>
      <c r="E7" s="5"/>
      <c r="F7" s="5">
        <f t="shared" si="1"/>
        <v>0</v>
      </c>
      <c r="G7" s="6"/>
    </row>
    <row r="8" spans="1:7" x14ac:dyDescent="0.3">
      <c r="A8" s="4">
        <f t="shared" si="0"/>
        <v>7</v>
      </c>
      <c r="B8" s="7"/>
      <c r="C8" s="8"/>
      <c r="D8" s="5"/>
      <c r="E8" s="5"/>
      <c r="F8" s="8">
        <f t="shared" si="1"/>
        <v>0</v>
      </c>
      <c r="G8" s="6"/>
    </row>
    <row r="9" spans="1:7" x14ac:dyDescent="0.3">
      <c r="A9" s="4">
        <f t="shared" si="0"/>
        <v>8</v>
      </c>
      <c r="B9" s="7"/>
      <c r="C9" s="8"/>
      <c r="D9" s="5"/>
      <c r="E9" s="5"/>
      <c r="F9" s="5">
        <f t="shared" si="1"/>
        <v>0</v>
      </c>
      <c r="G9" s="6"/>
    </row>
    <row r="10" spans="1:7" x14ac:dyDescent="0.3">
      <c r="A10" s="4">
        <f t="shared" si="0"/>
        <v>9</v>
      </c>
      <c r="B10" s="7"/>
      <c r="C10" s="8"/>
      <c r="D10" s="5"/>
      <c r="E10" s="5"/>
      <c r="F10" s="5">
        <f t="shared" si="1"/>
        <v>0</v>
      </c>
      <c r="G10" s="6"/>
    </row>
    <row r="11" spans="1:7" x14ac:dyDescent="0.3">
      <c r="A11" s="4">
        <f t="shared" si="0"/>
        <v>10</v>
      </c>
      <c r="B11" s="7"/>
      <c r="C11" s="8"/>
      <c r="D11" s="9"/>
      <c r="E11" s="9"/>
      <c r="F11" s="5">
        <f t="shared" si="1"/>
        <v>0</v>
      </c>
      <c r="G11" s="6"/>
    </row>
    <row r="12" spans="1:7" x14ac:dyDescent="0.3">
      <c r="A12" s="4">
        <f t="shared" si="0"/>
        <v>11</v>
      </c>
      <c r="B12" s="7"/>
      <c r="C12" s="8"/>
      <c r="D12" s="9"/>
      <c r="E12" s="9"/>
      <c r="F12" s="5">
        <f t="shared" si="1"/>
        <v>0</v>
      </c>
      <c r="G12" s="6"/>
    </row>
    <row r="13" spans="1:7" x14ac:dyDescent="0.3">
      <c r="A13" s="4">
        <f t="shared" si="0"/>
        <v>12</v>
      </c>
      <c r="B13" s="7"/>
      <c r="C13" s="8"/>
      <c r="D13" s="9"/>
      <c r="E13" s="9"/>
      <c r="F13" s="5">
        <f t="shared" si="1"/>
        <v>0</v>
      </c>
      <c r="G13" s="6"/>
    </row>
    <row r="14" spans="1:7" x14ac:dyDescent="0.3">
      <c r="A14" s="4">
        <f t="shared" si="0"/>
        <v>13</v>
      </c>
      <c r="B14" s="7"/>
      <c r="C14" s="8"/>
      <c r="D14" s="9"/>
      <c r="E14" s="9"/>
      <c r="F14" s="5">
        <f t="shared" si="1"/>
        <v>0</v>
      </c>
      <c r="G14" s="6"/>
    </row>
    <row r="15" spans="1:7" x14ac:dyDescent="0.3">
      <c r="A15" s="4">
        <f t="shared" si="0"/>
        <v>14</v>
      </c>
      <c r="B15" s="7"/>
      <c r="C15" s="8"/>
      <c r="D15" s="9"/>
      <c r="E15" s="9"/>
      <c r="F15" s="5">
        <f t="shared" si="1"/>
        <v>0</v>
      </c>
      <c r="G15" s="6"/>
    </row>
    <row r="16" spans="1:7" x14ac:dyDescent="0.3">
      <c r="A16" s="4">
        <f t="shared" si="0"/>
        <v>15</v>
      </c>
      <c r="B16" s="7"/>
      <c r="C16" s="8"/>
      <c r="D16" s="9"/>
      <c r="E16" s="9"/>
      <c r="F16" s="5">
        <f t="shared" si="1"/>
        <v>0</v>
      </c>
      <c r="G16" s="6"/>
    </row>
    <row r="17" spans="1:7" x14ac:dyDescent="0.3">
      <c r="A17" s="4">
        <f t="shared" si="0"/>
        <v>16</v>
      </c>
      <c r="B17" s="7"/>
      <c r="C17" s="8"/>
      <c r="D17" s="9"/>
      <c r="E17" s="9"/>
      <c r="F17" s="5">
        <f t="shared" si="1"/>
        <v>0</v>
      </c>
      <c r="G17" s="6"/>
    </row>
    <row r="18" spans="1:7" x14ac:dyDescent="0.3">
      <c r="A18" s="4">
        <f t="shared" si="0"/>
        <v>17</v>
      </c>
      <c r="B18" s="7" t="s">
        <v>11</v>
      </c>
      <c r="C18" s="8"/>
      <c r="D18" s="9"/>
      <c r="E18" s="9"/>
      <c r="F18" s="5">
        <f t="shared" si="1"/>
        <v>0</v>
      </c>
      <c r="G18" s="6"/>
    </row>
    <row r="19" spans="1:7" x14ac:dyDescent="0.3">
      <c r="A19" s="4">
        <f t="shared" si="0"/>
        <v>18</v>
      </c>
      <c r="B19" s="7" t="s">
        <v>12</v>
      </c>
      <c r="C19" s="8"/>
      <c r="D19" s="9"/>
      <c r="E19" s="9"/>
      <c r="F19" s="5">
        <f t="shared" si="1"/>
        <v>0</v>
      </c>
      <c r="G19" s="6"/>
    </row>
    <row r="20" spans="1:7" x14ac:dyDescent="0.3">
      <c r="A20" s="4">
        <f t="shared" si="0"/>
        <v>19</v>
      </c>
      <c r="B20" s="7" t="s">
        <v>13</v>
      </c>
      <c r="C20" s="8"/>
      <c r="D20" s="9"/>
      <c r="E20" s="9"/>
      <c r="F20" s="5">
        <f t="shared" si="1"/>
        <v>0</v>
      </c>
      <c r="G20" s="6"/>
    </row>
    <row r="21" spans="1:7" ht="15" customHeight="1" thickBot="1" x14ac:dyDescent="0.35">
      <c r="A21" s="4">
        <f t="shared" si="0"/>
        <v>20</v>
      </c>
      <c r="B21" s="7" t="s">
        <v>14</v>
      </c>
      <c r="C21" s="10"/>
      <c r="D21" s="11"/>
      <c r="E21" s="9"/>
      <c r="F21" s="5">
        <f t="shared" si="1"/>
        <v>0</v>
      </c>
      <c r="G21" s="6"/>
    </row>
    <row r="22" spans="1:7" ht="15" customHeight="1" thickBot="1" x14ac:dyDescent="0.35">
      <c r="A22" s="12"/>
      <c r="B22" s="13" t="s">
        <v>15</v>
      </c>
      <c r="C22" s="14"/>
      <c r="D22" s="14"/>
      <c r="E22" s="26"/>
      <c r="F22" s="15">
        <f>SUM(F2:F21)</f>
        <v>0</v>
      </c>
      <c r="G22" s="16"/>
    </row>
  </sheetData>
  <conditionalFormatting sqref="G2:G21">
    <cfRule type="expression" dxfId="43" priority="1">
      <formula>SEARCH("In-Progress", G2)</formula>
    </cfRule>
    <cfRule type="expression" dxfId="42" priority="2">
      <formula>SEARCH("Incomplete", G2)</formula>
    </cfRule>
    <cfRule type="expression" dxfId="41" priority="3">
      <formula>SEARCH("Completed", G2)</formula>
    </cfRule>
  </conditionalFormatting>
  <dataValidations count="1">
    <dataValidation type="list" allowBlank="1" showInputMessage="1" showErrorMessage="1" sqref="G2:G21" xr:uid="{00000000-0002-0000-0000-000000000000}">
      <formula1>"Completed, Incomplete, In-Progress"</formula1>
    </dataValidation>
  </dataValidation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22"/>
  <sheetViews>
    <sheetView topLeftCell="A3" workbookViewId="0">
      <selection activeCell="B18" sqref="B18:B21"/>
    </sheetView>
  </sheetViews>
  <sheetFormatPr defaultRowHeight="14.4" x14ac:dyDescent="0.3"/>
  <cols>
    <col min="1" max="1" width="6.6640625" bestFit="1" customWidth="1"/>
    <col min="2" max="2" width="45.44140625" customWidth="1"/>
    <col min="3" max="3" width="9.5546875" bestFit="1" customWidth="1"/>
    <col min="4" max="4" width="8.77734375" bestFit="1" customWidth="1"/>
    <col min="5" max="5" width="9.77734375" bestFit="1" customWidth="1"/>
    <col min="6" max="6" width="9.88671875" bestFit="1" customWidth="1"/>
  </cols>
  <sheetData>
    <row r="1" spans="1:6" ht="15" customHeight="1" thickBot="1" x14ac:dyDescent="0.35">
      <c r="A1" s="1" t="s">
        <v>0</v>
      </c>
      <c r="B1" s="2" t="s">
        <v>1</v>
      </c>
      <c r="C1" s="20" t="s">
        <v>2</v>
      </c>
      <c r="D1" s="20" t="s">
        <v>3</v>
      </c>
      <c r="E1" s="3" t="s">
        <v>16</v>
      </c>
      <c r="F1" s="2" t="s">
        <v>6</v>
      </c>
    </row>
    <row r="2" spans="1:6" x14ac:dyDescent="0.3">
      <c r="A2" s="4">
        <f t="shared" ref="A2:A21" si="0">ROW() - ROW($A$1)</f>
        <v>1</v>
      </c>
      <c r="B2" s="17" t="s">
        <v>17</v>
      </c>
      <c r="C2" s="18">
        <v>0.47569444444444442</v>
      </c>
      <c r="D2" s="19"/>
      <c r="E2" s="19">
        <f t="shared" ref="E2:E21" si="1">D2-C2</f>
        <v>-0.47569444444444442</v>
      </c>
      <c r="F2" s="6" t="s">
        <v>18</v>
      </c>
    </row>
    <row r="3" spans="1:6" x14ac:dyDescent="0.3">
      <c r="A3" s="4">
        <f t="shared" si="0"/>
        <v>2</v>
      </c>
      <c r="B3" s="7" t="s">
        <v>19</v>
      </c>
      <c r="C3" s="8"/>
      <c r="D3" s="5"/>
      <c r="E3" s="5">
        <f t="shared" si="1"/>
        <v>0</v>
      </c>
      <c r="F3" s="6" t="s">
        <v>18</v>
      </c>
    </row>
    <row r="4" spans="1:6" x14ac:dyDescent="0.3">
      <c r="A4" s="4">
        <f t="shared" si="0"/>
        <v>3</v>
      </c>
      <c r="B4" s="7" t="s">
        <v>20</v>
      </c>
      <c r="C4" s="8"/>
      <c r="D4" s="5"/>
      <c r="E4" s="5">
        <f t="shared" si="1"/>
        <v>0</v>
      </c>
      <c r="F4" s="6" t="s">
        <v>18</v>
      </c>
    </row>
    <row r="5" spans="1:6" x14ac:dyDescent="0.3">
      <c r="A5" s="4">
        <f t="shared" si="0"/>
        <v>4</v>
      </c>
      <c r="B5" s="7" t="s">
        <v>21</v>
      </c>
      <c r="C5" s="8"/>
      <c r="D5" s="5"/>
      <c r="E5" s="5">
        <f t="shared" si="1"/>
        <v>0</v>
      </c>
      <c r="F5" s="6" t="s">
        <v>18</v>
      </c>
    </row>
    <row r="6" spans="1:6" x14ac:dyDescent="0.3">
      <c r="A6" s="4">
        <f t="shared" si="0"/>
        <v>5</v>
      </c>
      <c r="B6" s="7" t="s">
        <v>22</v>
      </c>
      <c r="C6" s="8"/>
      <c r="D6" s="5"/>
      <c r="E6" s="5">
        <f t="shared" si="1"/>
        <v>0</v>
      </c>
      <c r="F6" s="6" t="s">
        <v>18</v>
      </c>
    </row>
    <row r="7" spans="1:6" ht="28.8" customHeight="1" x14ac:dyDescent="0.3">
      <c r="A7" s="4">
        <f t="shared" si="0"/>
        <v>6</v>
      </c>
      <c r="B7" s="7" t="s">
        <v>23</v>
      </c>
      <c r="C7" s="8"/>
      <c r="D7" s="5"/>
      <c r="E7" s="5">
        <f t="shared" si="1"/>
        <v>0</v>
      </c>
      <c r="F7" s="6" t="s">
        <v>18</v>
      </c>
    </row>
    <row r="8" spans="1:6" ht="28.8" customHeight="1" x14ac:dyDescent="0.3">
      <c r="A8" s="4">
        <f t="shared" si="0"/>
        <v>7</v>
      </c>
      <c r="B8" s="7" t="s">
        <v>24</v>
      </c>
      <c r="C8" s="8"/>
      <c r="D8" s="5"/>
      <c r="E8" s="8">
        <f t="shared" si="1"/>
        <v>0</v>
      </c>
      <c r="F8" s="6" t="s">
        <v>18</v>
      </c>
    </row>
    <row r="9" spans="1:6" x14ac:dyDescent="0.3">
      <c r="A9" s="4">
        <f t="shared" si="0"/>
        <v>8</v>
      </c>
      <c r="B9" s="7" t="s">
        <v>25</v>
      </c>
      <c r="C9" s="8"/>
      <c r="D9" s="5"/>
      <c r="E9" s="5">
        <f t="shared" si="1"/>
        <v>0</v>
      </c>
      <c r="F9" s="6" t="s">
        <v>18</v>
      </c>
    </row>
    <row r="10" spans="1:6" x14ac:dyDescent="0.3">
      <c r="A10" s="4">
        <f t="shared" si="0"/>
        <v>9</v>
      </c>
      <c r="B10" s="7"/>
      <c r="C10" s="8"/>
      <c r="D10" s="5"/>
      <c r="E10" s="5">
        <f t="shared" si="1"/>
        <v>0</v>
      </c>
      <c r="F10" s="6"/>
    </row>
    <row r="11" spans="1:6" x14ac:dyDescent="0.3">
      <c r="A11" s="4">
        <f t="shared" si="0"/>
        <v>10</v>
      </c>
      <c r="B11" s="7"/>
      <c r="C11" s="8"/>
      <c r="D11" s="9"/>
      <c r="E11" s="5">
        <f t="shared" si="1"/>
        <v>0</v>
      </c>
      <c r="F11" s="6"/>
    </row>
    <row r="12" spans="1:6" x14ac:dyDescent="0.3">
      <c r="A12" s="4">
        <f t="shared" si="0"/>
        <v>11</v>
      </c>
      <c r="B12" s="7"/>
      <c r="C12" s="8"/>
      <c r="D12" s="9"/>
      <c r="E12" s="5">
        <f t="shared" si="1"/>
        <v>0</v>
      </c>
      <c r="F12" s="6"/>
    </row>
    <row r="13" spans="1:6" x14ac:dyDescent="0.3">
      <c r="A13" s="4">
        <f t="shared" si="0"/>
        <v>12</v>
      </c>
      <c r="B13" s="7"/>
      <c r="C13" s="8"/>
      <c r="D13" s="9"/>
      <c r="E13" s="5">
        <f t="shared" si="1"/>
        <v>0</v>
      </c>
      <c r="F13" s="6"/>
    </row>
    <row r="14" spans="1:6" x14ac:dyDescent="0.3">
      <c r="A14" s="4">
        <f t="shared" si="0"/>
        <v>13</v>
      </c>
      <c r="B14" s="7"/>
      <c r="C14" s="8"/>
      <c r="D14" s="9"/>
      <c r="E14" s="5">
        <f t="shared" si="1"/>
        <v>0</v>
      </c>
      <c r="F14" s="6"/>
    </row>
    <row r="15" spans="1:6" x14ac:dyDescent="0.3">
      <c r="A15" s="4">
        <f t="shared" si="0"/>
        <v>14</v>
      </c>
      <c r="B15" s="7"/>
      <c r="C15" s="8"/>
      <c r="D15" s="9"/>
      <c r="E15" s="5">
        <f t="shared" si="1"/>
        <v>0</v>
      </c>
      <c r="F15" s="6"/>
    </row>
    <row r="16" spans="1:6" x14ac:dyDescent="0.3">
      <c r="A16" s="4">
        <f t="shared" si="0"/>
        <v>15</v>
      </c>
      <c r="B16" s="7"/>
      <c r="C16" s="8"/>
      <c r="D16" s="9"/>
      <c r="E16" s="5">
        <f t="shared" si="1"/>
        <v>0</v>
      </c>
      <c r="F16" s="6"/>
    </row>
    <row r="17" spans="1:6" x14ac:dyDescent="0.3">
      <c r="A17" s="4">
        <f t="shared" si="0"/>
        <v>16</v>
      </c>
      <c r="B17" s="7"/>
      <c r="C17" s="8"/>
      <c r="D17" s="9"/>
      <c r="E17" s="5">
        <f t="shared" si="1"/>
        <v>0</v>
      </c>
      <c r="F17" s="6"/>
    </row>
    <row r="18" spans="1:6" x14ac:dyDescent="0.3">
      <c r="A18" s="4">
        <f t="shared" si="0"/>
        <v>17</v>
      </c>
      <c r="B18" s="7" t="s">
        <v>11</v>
      </c>
      <c r="C18" s="8"/>
      <c r="D18" s="9"/>
      <c r="E18" s="5">
        <f t="shared" si="1"/>
        <v>0</v>
      </c>
      <c r="F18" s="6"/>
    </row>
    <row r="19" spans="1:6" x14ac:dyDescent="0.3">
      <c r="A19" s="4">
        <f t="shared" si="0"/>
        <v>18</v>
      </c>
      <c r="B19" s="7" t="s">
        <v>13</v>
      </c>
      <c r="C19" s="8"/>
      <c r="D19" s="9"/>
      <c r="E19" s="5">
        <f t="shared" si="1"/>
        <v>0</v>
      </c>
      <c r="F19" s="6"/>
    </row>
    <row r="20" spans="1:6" x14ac:dyDescent="0.3">
      <c r="A20" s="4">
        <f t="shared" si="0"/>
        <v>19</v>
      </c>
      <c r="B20" s="7" t="s">
        <v>12</v>
      </c>
      <c r="C20" s="8"/>
      <c r="D20" s="9"/>
      <c r="E20" s="5">
        <f t="shared" si="1"/>
        <v>0</v>
      </c>
      <c r="F20" s="6"/>
    </row>
    <row r="21" spans="1:6" ht="15" customHeight="1" thickBot="1" x14ac:dyDescent="0.35">
      <c r="A21" s="4">
        <f t="shared" si="0"/>
        <v>20</v>
      </c>
      <c r="B21" s="7" t="s">
        <v>14</v>
      </c>
      <c r="C21" s="10"/>
      <c r="D21" s="11"/>
      <c r="E21" s="5">
        <f t="shared" si="1"/>
        <v>0</v>
      </c>
      <c r="F21" s="6"/>
    </row>
    <row r="22" spans="1:6" ht="15" customHeight="1" thickBot="1" x14ac:dyDescent="0.35">
      <c r="A22" s="12"/>
      <c r="B22" s="13" t="s">
        <v>15</v>
      </c>
      <c r="C22" s="14"/>
      <c r="D22" s="14"/>
      <c r="E22" s="15">
        <f>SUM(E2:E21)</f>
        <v>-0.47569444444444442</v>
      </c>
      <c r="F22" s="16"/>
    </row>
  </sheetData>
  <conditionalFormatting sqref="F2:F21">
    <cfRule type="expression" dxfId="40" priority="1">
      <formula>SEARCH("In-Progress", F2)</formula>
    </cfRule>
    <cfRule type="expression" dxfId="39" priority="2">
      <formula>SEARCH("Incomplete", F2)</formula>
    </cfRule>
    <cfRule type="expression" dxfId="38" priority="3">
      <formula>SEARCH("Completed", F2)</formula>
    </cfRule>
  </conditionalFormatting>
  <dataValidations count="1">
    <dataValidation type="list" allowBlank="1" showInputMessage="1" showErrorMessage="1" sqref="F2:F21" xr:uid="{00000000-0002-0000-0100-000000000000}">
      <formula1>"Completed, Incomplete, In-Progress"</formula1>
    </dataValidation>
  </dataValidation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22"/>
  <sheetViews>
    <sheetView topLeftCell="A2" workbookViewId="0">
      <selection activeCell="B6" sqref="B6"/>
    </sheetView>
  </sheetViews>
  <sheetFormatPr defaultRowHeight="14.4" x14ac:dyDescent="0.3"/>
  <cols>
    <col min="2" max="2" width="53.109375" customWidth="1"/>
    <col min="3" max="5" width="10.21875" customWidth="1"/>
    <col min="6" max="6" width="12.33203125" customWidth="1"/>
  </cols>
  <sheetData>
    <row r="1" spans="1:6" ht="15" customHeight="1" thickBot="1" x14ac:dyDescent="0.35">
      <c r="A1" s="1" t="s">
        <v>0</v>
      </c>
      <c r="B1" s="2" t="s">
        <v>1</v>
      </c>
      <c r="C1" s="21" t="s">
        <v>2</v>
      </c>
      <c r="D1" s="21" t="s">
        <v>3</v>
      </c>
      <c r="E1" s="3" t="s">
        <v>16</v>
      </c>
      <c r="F1" s="2" t="s">
        <v>6</v>
      </c>
    </row>
    <row r="2" spans="1:6" x14ac:dyDescent="0.3">
      <c r="A2" s="4">
        <f t="shared" ref="A2:A21" si="0">ROW() - ROW($A$1)</f>
        <v>1</v>
      </c>
      <c r="B2" s="23" t="s">
        <v>7</v>
      </c>
      <c r="C2" s="22">
        <v>0.41666666666666669</v>
      </c>
      <c r="D2" s="5">
        <v>0.4236111111111111</v>
      </c>
      <c r="E2" s="5">
        <f t="shared" ref="E2:E21" si="1">D2-C2</f>
        <v>6.9444444444444198E-3</v>
      </c>
      <c r="F2" s="6" t="s">
        <v>18</v>
      </c>
    </row>
    <row r="3" spans="1:6" x14ac:dyDescent="0.3">
      <c r="A3" s="4">
        <f t="shared" si="0"/>
        <v>2</v>
      </c>
      <c r="B3" s="7" t="s">
        <v>8</v>
      </c>
      <c r="C3" s="8">
        <v>0.4236111111111111</v>
      </c>
      <c r="D3" s="5">
        <v>0.43402777777777779</v>
      </c>
      <c r="E3" s="5">
        <f t="shared" si="1"/>
        <v>1.0416666666666685E-2</v>
      </c>
      <c r="F3" s="6" t="s">
        <v>18</v>
      </c>
    </row>
    <row r="4" spans="1:6" x14ac:dyDescent="0.3">
      <c r="A4" s="4">
        <f t="shared" si="0"/>
        <v>3</v>
      </c>
      <c r="B4" s="24" t="s">
        <v>9</v>
      </c>
      <c r="C4" s="8">
        <v>0.43402777777777779</v>
      </c>
      <c r="D4" s="5">
        <v>0.4375</v>
      </c>
      <c r="E4" s="5">
        <f t="shared" si="1"/>
        <v>3.4722222222222099E-3</v>
      </c>
      <c r="F4" s="6" t="s">
        <v>18</v>
      </c>
    </row>
    <row r="5" spans="1:6" x14ac:dyDescent="0.3">
      <c r="A5" s="4">
        <f t="shared" si="0"/>
        <v>4</v>
      </c>
      <c r="B5" s="7" t="s">
        <v>26</v>
      </c>
      <c r="C5" s="8">
        <v>0.4375</v>
      </c>
      <c r="D5" s="5"/>
      <c r="E5" s="5">
        <f t="shared" si="1"/>
        <v>-0.4375</v>
      </c>
      <c r="F5" s="6" t="s">
        <v>18</v>
      </c>
    </row>
    <row r="6" spans="1:6" x14ac:dyDescent="0.3">
      <c r="A6" s="4">
        <f t="shared" si="0"/>
        <v>5</v>
      </c>
      <c r="B6" s="7" t="s">
        <v>27</v>
      </c>
      <c r="C6" s="8"/>
      <c r="D6" s="5"/>
      <c r="E6" s="5">
        <f t="shared" si="1"/>
        <v>0</v>
      </c>
      <c r="F6" s="6" t="s">
        <v>18</v>
      </c>
    </row>
    <row r="7" spans="1:6" x14ac:dyDescent="0.3">
      <c r="A7" s="4">
        <f t="shared" si="0"/>
        <v>6</v>
      </c>
      <c r="B7" s="7" t="s">
        <v>28</v>
      </c>
      <c r="C7" s="8"/>
      <c r="D7" s="5"/>
      <c r="E7" s="5">
        <f t="shared" si="1"/>
        <v>0</v>
      </c>
      <c r="F7" s="6" t="s">
        <v>18</v>
      </c>
    </row>
    <row r="8" spans="1:6" ht="28.8" customHeight="1" x14ac:dyDescent="0.3">
      <c r="A8" s="4">
        <f t="shared" si="0"/>
        <v>7</v>
      </c>
      <c r="B8" s="7" t="s">
        <v>29</v>
      </c>
      <c r="C8" s="8"/>
      <c r="D8" s="5">
        <v>0.6333333333333333</v>
      </c>
      <c r="E8" s="8">
        <f t="shared" si="1"/>
        <v>0.6333333333333333</v>
      </c>
      <c r="F8" s="6" t="s">
        <v>18</v>
      </c>
    </row>
    <row r="9" spans="1:6" x14ac:dyDescent="0.3">
      <c r="A9" s="4">
        <f t="shared" si="0"/>
        <v>8</v>
      </c>
      <c r="B9" s="7" t="s">
        <v>30</v>
      </c>
      <c r="C9" s="8">
        <v>0.625</v>
      </c>
      <c r="D9" s="5"/>
      <c r="E9" s="5">
        <f t="shared" si="1"/>
        <v>-0.625</v>
      </c>
      <c r="F9" s="6" t="s">
        <v>31</v>
      </c>
    </row>
    <row r="10" spans="1:6" x14ac:dyDescent="0.3">
      <c r="A10" s="4">
        <f t="shared" si="0"/>
        <v>9</v>
      </c>
      <c r="B10" s="7"/>
      <c r="C10" s="8"/>
      <c r="D10" s="5"/>
      <c r="E10" s="5">
        <f t="shared" si="1"/>
        <v>0</v>
      </c>
      <c r="F10" s="6"/>
    </row>
    <row r="11" spans="1:6" x14ac:dyDescent="0.3">
      <c r="A11" s="4">
        <f t="shared" si="0"/>
        <v>10</v>
      </c>
      <c r="B11" s="7"/>
      <c r="C11" s="8"/>
      <c r="D11" s="9"/>
      <c r="E11" s="5">
        <f t="shared" si="1"/>
        <v>0</v>
      </c>
      <c r="F11" s="6"/>
    </row>
    <row r="12" spans="1:6" x14ac:dyDescent="0.3">
      <c r="A12" s="4">
        <f t="shared" si="0"/>
        <v>11</v>
      </c>
      <c r="B12" s="7"/>
      <c r="C12" s="8"/>
      <c r="D12" s="9"/>
      <c r="E12" s="5">
        <f t="shared" si="1"/>
        <v>0</v>
      </c>
      <c r="F12" s="6"/>
    </row>
    <row r="13" spans="1:6" x14ac:dyDescent="0.3">
      <c r="A13" s="4">
        <f t="shared" si="0"/>
        <v>12</v>
      </c>
      <c r="B13" s="7"/>
      <c r="C13" s="8"/>
      <c r="D13" s="9"/>
      <c r="E13" s="5">
        <f t="shared" si="1"/>
        <v>0</v>
      </c>
      <c r="F13" s="6"/>
    </row>
    <row r="14" spans="1:6" x14ac:dyDescent="0.3">
      <c r="A14" s="4">
        <f t="shared" si="0"/>
        <v>13</v>
      </c>
      <c r="B14" s="7"/>
      <c r="C14" s="8"/>
      <c r="D14" s="9"/>
      <c r="E14" s="5">
        <f t="shared" si="1"/>
        <v>0</v>
      </c>
      <c r="F14" s="6"/>
    </row>
    <row r="15" spans="1:6" x14ac:dyDescent="0.3">
      <c r="A15" s="4">
        <f t="shared" si="0"/>
        <v>14</v>
      </c>
      <c r="B15" s="7"/>
      <c r="C15" s="8"/>
      <c r="D15" s="9"/>
      <c r="E15" s="5">
        <f t="shared" si="1"/>
        <v>0</v>
      </c>
      <c r="F15" s="6"/>
    </row>
    <row r="16" spans="1:6" x14ac:dyDescent="0.3">
      <c r="A16" s="4">
        <f t="shared" si="0"/>
        <v>15</v>
      </c>
      <c r="B16" s="7"/>
      <c r="C16" s="8"/>
      <c r="D16" s="9"/>
      <c r="E16" s="5">
        <f t="shared" si="1"/>
        <v>0</v>
      </c>
      <c r="F16" s="6"/>
    </row>
    <row r="17" spans="1:6" x14ac:dyDescent="0.3">
      <c r="A17" s="4">
        <f t="shared" si="0"/>
        <v>16</v>
      </c>
      <c r="B17" s="7"/>
      <c r="C17" s="8"/>
      <c r="D17" s="9"/>
      <c r="E17" s="5">
        <f t="shared" si="1"/>
        <v>0</v>
      </c>
      <c r="F17" s="6"/>
    </row>
    <row r="18" spans="1:6" x14ac:dyDescent="0.3">
      <c r="A18" s="4">
        <f t="shared" si="0"/>
        <v>17</v>
      </c>
      <c r="B18" s="7" t="s">
        <v>11</v>
      </c>
      <c r="C18" s="8"/>
      <c r="D18" s="9"/>
      <c r="E18" s="5">
        <f t="shared" si="1"/>
        <v>0</v>
      </c>
      <c r="F18" s="6"/>
    </row>
    <row r="19" spans="1:6" x14ac:dyDescent="0.3">
      <c r="A19" s="4">
        <f t="shared" si="0"/>
        <v>18</v>
      </c>
      <c r="B19" s="7" t="s">
        <v>13</v>
      </c>
      <c r="C19" s="8"/>
      <c r="D19" s="9"/>
      <c r="E19" s="5">
        <f t="shared" si="1"/>
        <v>0</v>
      </c>
      <c r="F19" s="6"/>
    </row>
    <row r="20" spans="1:6" x14ac:dyDescent="0.3">
      <c r="A20" s="4">
        <f t="shared" si="0"/>
        <v>19</v>
      </c>
      <c r="B20" s="7" t="s">
        <v>12</v>
      </c>
      <c r="C20" s="8"/>
      <c r="D20" s="9"/>
      <c r="E20" s="5">
        <f t="shared" si="1"/>
        <v>0</v>
      </c>
      <c r="F20" s="6"/>
    </row>
    <row r="21" spans="1:6" ht="15" customHeight="1" thickBot="1" x14ac:dyDescent="0.35">
      <c r="A21" s="4">
        <f t="shared" si="0"/>
        <v>20</v>
      </c>
      <c r="B21" s="7" t="s">
        <v>14</v>
      </c>
      <c r="C21" s="10"/>
      <c r="D21" s="11"/>
      <c r="E21" s="5">
        <f t="shared" si="1"/>
        <v>0</v>
      </c>
      <c r="F21" s="6"/>
    </row>
    <row r="22" spans="1:6" ht="15" customHeight="1" thickBot="1" x14ac:dyDescent="0.35">
      <c r="A22" s="12"/>
      <c r="B22" s="13" t="s">
        <v>15</v>
      </c>
      <c r="C22" s="14"/>
      <c r="D22" s="14"/>
      <c r="E22" s="15">
        <f>SUM(E2:E21)</f>
        <v>-0.40833333333333338</v>
      </c>
      <c r="F22" s="16"/>
    </row>
  </sheetData>
  <conditionalFormatting sqref="F2:F21">
    <cfRule type="expression" dxfId="37" priority="1">
      <formula>SEARCH("In-Progress", F2)</formula>
    </cfRule>
    <cfRule type="expression" dxfId="36" priority="2">
      <formula>SEARCH("Incomplete", F2)</formula>
    </cfRule>
    <cfRule type="expression" dxfId="35" priority="3">
      <formula>SEARCH("Completed", F2)</formula>
    </cfRule>
  </conditionalFormatting>
  <dataValidations count="1">
    <dataValidation type="list" allowBlank="1" showInputMessage="1" showErrorMessage="1" sqref="F2:F21" xr:uid="{00000000-0002-0000-0200-000000000000}">
      <formula1>"Completed, Incomplete, In-Progress"</formula1>
    </dataValidation>
  </dataValidation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24"/>
  <sheetViews>
    <sheetView workbookViewId="0">
      <selection activeCell="B7" sqref="B7"/>
    </sheetView>
  </sheetViews>
  <sheetFormatPr defaultRowHeight="14.4" x14ac:dyDescent="0.3"/>
  <cols>
    <col min="2" max="2" width="53.109375" customWidth="1"/>
    <col min="3" max="5" width="10.21875" customWidth="1"/>
    <col min="6" max="6" width="12.33203125" customWidth="1"/>
  </cols>
  <sheetData>
    <row r="1" spans="1:6" ht="15" customHeight="1" thickBot="1" x14ac:dyDescent="0.35">
      <c r="A1" s="1" t="s">
        <v>0</v>
      </c>
      <c r="B1" s="2" t="s">
        <v>1</v>
      </c>
      <c r="C1" s="21" t="s">
        <v>2</v>
      </c>
      <c r="D1" s="21" t="s">
        <v>3</v>
      </c>
      <c r="E1" s="3" t="s">
        <v>16</v>
      </c>
      <c r="F1" s="2" t="s">
        <v>6</v>
      </c>
    </row>
    <row r="2" spans="1:6" x14ac:dyDescent="0.3">
      <c r="A2" s="4">
        <f t="shared" ref="A2:A21" si="0">ROW() - ROW($A$1)</f>
        <v>1</v>
      </c>
      <c r="B2" s="23" t="s">
        <v>7</v>
      </c>
      <c r="C2" s="22">
        <v>0.39513888888888887</v>
      </c>
      <c r="D2" s="5">
        <v>0.40625</v>
      </c>
      <c r="E2" s="5">
        <f t="shared" ref="E2:E8" si="1">D2-C2</f>
        <v>1.1111111111111127E-2</v>
      </c>
      <c r="F2" s="6" t="s">
        <v>18</v>
      </c>
    </row>
    <row r="3" spans="1:6" x14ac:dyDescent="0.3">
      <c r="A3" s="4">
        <f t="shared" si="0"/>
        <v>2</v>
      </c>
      <c r="B3" s="7" t="s">
        <v>8</v>
      </c>
      <c r="C3" s="8">
        <v>0.40625</v>
      </c>
      <c r="D3" s="5">
        <v>0.41319444444444442</v>
      </c>
      <c r="E3" s="5">
        <f t="shared" si="1"/>
        <v>6.9444444444444198E-3</v>
      </c>
      <c r="F3" s="6" t="s">
        <v>18</v>
      </c>
    </row>
    <row r="4" spans="1:6" x14ac:dyDescent="0.3">
      <c r="A4" s="4">
        <f t="shared" si="0"/>
        <v>3</v>
      </c>
      <c r="B4" s="24" t="s">
        <v>9</v>
      </c>
      <c r="C4" s="8">
        <v>0.41319444444444442</v>
      </c>
      <c r="D4" s="5">
        <v>0.41666666666666669</v>
      </c>
      <c r="E4" s="5">
        <f t="shared" si="1"/>
        <v>3.4722222222222654E-3</v>
      </c>
      <c r="F4" s="6" t="s">
        <v>18</v>
      </c>
    </row>
    <row r="5" spans="1:6" x14ac:dyDescent="0.3">
      <c r="A5" s="4">
        <f t="shared" si="0"/>
        <v>4</v>
      </c>
      <c r="B5" s="7" t="s">
        <v>26</v>
      </c>
      <c r="C5" s="8">
        <v>0.41666666666666669</v>
      </c>
      <c r="D5" s="5">
        <v>0.47916666666666669</v>
      </c>
      <c r="E5" s="5">
        <f t="shared" si="1"/>
        <v>6.25E-2</v>
      </c>
      <c r="F5" s="6" t="s">
        <v>18</v>
      </c>
    </row>
    <row r="6" spans="1:6" x14ac:dyDescent="0.3">
      <c r="A6" s="4">
        <f t="shared" si="0"/>
        <v>5</v>
      </c>
      <c r="B6" s="7" t="s">
        <v>27</v>
      </c>
      <c r="C6" s="8">
        <v>0.47916666666666669</v>
      </c>
      <c r="D6" s="5">
        <v>0.5</v>
      </c>
      <c r="E6" s="5">
        <f t="shared" si="1"/>
        <v>2.0833333333333315E-2</v>
      </c>
      <c r="F6" s="6" t="s">
        <v>18</v>
      </c>
    </row>
    <row r="7" spans="1:6" x14ac:dyDescent="0.3">
      <c r="A7" s="4">
        <f t="shared" si="0"/>
        <v>6</v>
      </c>
      <c r="B7" s="25" t="s">
        <v>32</v>
      </c>
      <c r="C7" s="8"/>
      <c r="D7" s="5"/>
      <c r="E7" s="5">
        <f t="shared" si="1"/>
        <v>0</v>
      </c>
      <c r="F7" s="6"/>
    </row>
    <row r="8" spans="1:6" x14ac:dyDescent="0.3">
      <c r="A8" s="4">
        <f t="shared" si="0"/>
        <v>7</v>
      </c>
      <c r="B8" s="25"/>
      <c r="C8" s="8"/>
      <c r="D8" s="5"/>
      <c r="E8" s="8">
        <f t="shared" si="1"/>
        <v>0</v>
      </c>
      <c r="F8" s="6"/>
    </row>
    <row r="9" spans="1:6" x14ac:dyDescent="0.3">
      <c r="A9" s="4">
        <f t="shared" si="0"/>
        <v>8</v>
      </c>
      <c r="B9" s="7" t="s">
        <v>33</v>
      </c>
      <c r="C9" s="8"/>
      <c r="D9" s="9"/>
      <c r="E9" s="5">
        <f>D12-C12</f>
        <v>0</v>
      </c>
      <c r="F9" s="6" t="s">
        <v>18</v>
      </c>
    </row>
    <row r="10" spans="1:6" x14ac:dyDescent="0.3">
      <c r="A10" s="4">
        <f t="shared" si="0"/>
        <v>9</v>
      </c>
      <c r="B10" s="7" t="s">
        <v>34</v>
      </c>
      <c r="C10" s="8">
        <v>0.54166666666666663</v>
      </c>
      <c r="D10" s="5">
        <v>0.59722222222222221</v>
      </c>
      <c r="E10" s="5">
        <f>D10-C10</f>
        <v>5.555555555555558E-2</v>
      </c>
      <c r="F10" s="6"/>
    </row>
    <row r="11" spans="1:6" x14ac:dyDescent="0.3">
      <c r="A11" s="4">
        <f t="shared" si="0"/>
        <v>10</v>
      </c>
      <c r="B11" s="7" t="s">
        <v>35</v>
      </c>
      <c r="C11" s="8"/>
      <c r="D11" s="9"/>
      <c r="E11" s="5">
        <f>D11-C11</f>
        <v>0</v>
      </c>
      <c r="F11" s="6"/>
    </row>
    <row r="12" spans="1:6" x14ac:dyDescent="0.3">
      <c r="A12" s="4">
        <f t="shared" si="0"/>
        <v>11</v>
      </c>
      <c r="B12" s="7"/>
      <c r="C12" s="8"/>
      <c r="D12" s="5"/>
      <c r="E12" s="5" t="e">
        <f>#REF!-#REF!</f>
        <v>#REF!</v>
      </c>
      <c r="F12" s="6"/>
    </row>
    <row r="13" spans="1:6" x14ac:dyDescent="0.3">
      <c r="A13" s="4">
        <f t="shared" si="0"/>
        <v>12</v>
      </c>
      <c r="B13" s="7"/>
      <c r="C13" s="8"/>
      <c r="D13" s="9"/>
      <c r="E13" s="5">
        <f t="shared" ref="E13:E21" si="2">D13-C13</f>
        <v>0</v>
      </c>
      <c r="F13" s="6"/>
    </row>
    <row r="14" spans="1:6" x14ac:dyDescent="0.3">
      <c r="A14" s="4">
        <f t="shared" si="0"/>
        <v>13</v>
      </c>
      <c r="B14" s="7"/>
      <c r="C14" s="8"/>
      <c r="D14" s="9"/>
      <c r="E14" s="5">
        <f t="shared" si="2"/>
        <v>0</v>
      </c>
      <c r="F14" s="6"/>
    </row>
    <row r="15" spans="1:6" x14ac:dyDescent="0.3">
      <c r="A15" s="4">
        <f t="shared" si="0"/>
        <v>14</v>
      </c>
      <c r="B15" s="7"/>
      <c r="C15" s="8"/>
      <c r="D15" s="9"/>
      <c r="E15" s="5">
        <f t="shared" si="2"/>
        <v>0</v>
      </c>
      <c r="F15" s="6"/>
    </row>
    <row r="16" spans="1:6" x14ac:dyDescent="0.3">
      <c r="A16" s="4">
        <f t="shared" si="0"/>
        <v>15</v>
      </c>
      <c r="B16" s="7"/>
      <c r="C16" s="8"/>
      <c r="D16" s="9"/>
      <c r="E16" s="5">
        <f t="shared" si="2"/>
        <v>0</v>
      </c>
      <c r="F16" s="6"/>
    </row>
    <row r="17" spans="1:6" x14ac:dyDescent="0.3">
      <c r="A17" s="4">
        <f t="shared" si="0"/>
        <v>16</v>
      </c>
      <c r="B17" s="7"/>
      <c r="C17" s="8"/>
      <c r="D17" s="9"/>
      <c r="E17" s="5">
        <f t="shared" si="2"/>
        <v>0</v>
      </c>
      <c r="F17" s="6"/>
    </row>
    <row r="18" spans="1:6" x14ac:dyDescent="0.3">
      <c r="A18" s="4">
        <f t="shared" si="0"/>
        <v>17</v>
      </c>
      <c r="B18" s="7" t="s">
        <v>11</v>
      </c>
      <c r="C18" s="8"/>
      <c r="D18" s="9"/>
      <c r="E18" s="5">
        <f t="shared" si="2"/>
        <v>0</v>
      </c>
      <c r="F18" s="6"/>
    </row>
    <row r="19" spans="1:6" x14ac:dyDescent="0.3">
      <c r="A19" s="4">
        <f t="shared" si="0"/>
        <v>18</v>
      </c>
      <c r="B19" s="7" t="s">
        <v>13</v>
      </c>
      <c r="C19" s="8"/>
      <c r="D19" s="9"/>
      <c r="E19" s="5">
        <f t="shared" si="2"/>
        <v>0</v>
      </c>
      <c r="F19" s="6"/>
    </row>
    <row r="20" spans="1:6" x14ac:dyDescent="0.3">
      <c r="A20" s="4">
        <f t="shared" si="0"/>
        <v>19</v>
      </c>
      <c r="B20" s="7" t="s">
        <v>12</v>
      </c>
      <c r="C20" s="8"/>
      <c r="D20" s="9"/>
      <c r="E20" s="5">
        <f t="shared" si="2"/>
        <v>0</v>
      </c>
      <c r="F20" s="6"/>
    </row>
    <row r="21" spans="1:6" ht="15" customHeight="1" thickBot="1" x14ac:dyDescent="0.35">
      <c r="A21" s="4">
        <f t="shared" si="0"/>
        <v>20</v>
      </c>
      <c r="B21" s="7" t="s">
        <v>14</v>
      </c>
      <c r="C21" s="10"/>
      <c r="D21" s="11"/>
      <c r="E21" s="5">
        <f t="shared" si="2"/>
        <v>0</v>
      </c>
      <c r="F21" s="6"/>
    </row>
    <row r="22" spans="1:6" ht="15" customHeight="1" thickBot="1" x14ac:dyDescent="0.35">
      <c r="A22" s="12"/>
      <c r="B22" s="13" t="s">
        <v>15</v>
      </c>
      <c r="C22" s="14"/>
      <c r="D22" s="14"/>
      <c r="E22" s="15" t="e">
        <f>SUM(E2:E21)</f>
        <v>#REF!</v>
      </c>
      <c r="F22" s="16"/>
    </row>
    <row r="24" spans="1:6" ht="15" customHeight="1" x14ac:dyDescent="0.3"/>
  </sheetData>
  <conditionalFormatting sqref="F2:F21">
    <cfRule type="expression" dxfId="34" priority="1">
      <formula>SEARCH("In-Progress", F2)</formula>
    </cfRule>
    <cfRule type="expression" dxfId="33" priority="2">
      <formula>SEARCH("Incomplete", F2)</formula>
    </cfRule>
    <cfRule type="expression" dxfId="32" priority="3">
      <formula>SEARCH("Completed", F2)</formula>
    </cfRule>
  </conditionalFormatting>
  <dataValidations count="1">
    <dataValidation type="list" allowBlank="1" showInputMessage="1" showErrorMessage="1" sqref="F2:F21" xr:uid="{00000000-0002-0000-0300-000000000000}">
      <formula1>"Completed, Incomplete, In-Progress"</formula1>
    </dataValidation>
  </dataValidation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22"/>
  <sheetViews>
    <sheetView workbookViewId="0">
      <selection activeCell="B6" sqref="B6"/>
    </sheetView>
  </sheetViews>
  <sheetFormatPr defaultRowHeight="14.4" x14ac:dyDescent="0.3"/>
  <cols>
    <col min="2" max="2" width="53.109375" customWidth="1"/>
    <col min="3" max="5" width="10.21875" customWidth="1"/>
    <col min="6" max="6" width="12.33203125" customWidth="1"/>
  </cols>
  <sheetData>
    <row r="1" spans="1:6" ht="15" customHeight="1" thickBot="1" x14ac:dyDescent="0.35">
      <c r="A1" s="1" t="s">
        <v>0</v>
      </c>
      <c r="B1" s="2" t="s">
        <v>1</v>
      </c>
      <c r="C1" s="21" t="s">
        <v>2</v>
      </c>
      <c r="D1" s="21" t="s">
        <v>3</v>
      </c>
      <c r="E1" s="3" t="s">
        <v>16</v>
      </c>
      <c r="F1" s="2" t="s">
        <v>6</v>
      </c>
    </row>
    <row r="2" spans="1:6" x14ac:dyDescent="0.3">
      <c r="A2" s="4">
        <f t="shared" ref="A2:A21" si="0">ROW() - ROW($A$1)</f>
        <v>1</v>
      </c>
      <c r="B2" s="23" t="s">
        <v>7</v>
      </c>
      <c r="C2" s="22">
        <v>0.3923611111111111</v>
      </c>
      <c r="D2" s="5">
        <v>0.39930555555555558</v>
      </c>
      <c r="E2" s="5">
        <f t="shared" ref="E2:E21" si="1">D2-C2</f>
        <v>6.9444444444444753E-3</v>
      </c>
      <c r="F2" s="6" t="s">
        <v>18</v>
      </c>
    </row>
    <row r="3" spans="1:6" x14ac:dyDescent="0.3">
      <c r="A3" s="4">
        <f t="shared" si="0"/>
        <v>2</v>
      </c>
      <c r="B3" s="7" t="s">
        <v>8</v>
      </c>
      <c r="C3" s="8">
        <v>0.39930555555555558</v>
      </c>
      <c r="D3" s="5">
        <v>0.40972222222222221</v>
      </c>
      <c r="E3" s="5">
        <f t="shared" si="1"/>
        <v>1.041666666666663E-2</v>
      </c>
      <c r="F3" s="6" t="s">
        <v>18</v>
      </c>
    </row>
    <row r="4" spans="1:6" x14ac:dyDescent="0.3">
      <c r="A4" s="4">
        <f t="shared" si="0"/>
        <v>3</v>
      </c>
      <c r="B4" s="24" t="s">
        <v>9</v>
      </c>
      <c r="C4" s="8">
        <v>0.40972222222222221</v>
      </c>
      <c r="D4" s="5">
        <v>0.41319444444444442</v>
      </c>
      <c r="E4" s="5">
        <f t="shared" si="1"/>
        <v>3.4722222222222099E-3</v>
      </c>
      <c r="F4" s="6" t="s">
        <v>18</v>
      </c>
    </row>
    <row r="5" spans="1:6" ht="28.8" customHeight="1" x14ac:dyDescent="0.3">
      <c r="A5" s="4">
        <f t="shared" si="0"/>
        <v>4</v>
      </c>
      <c r="B5" s="7" t="s">
        <v>36</v>
      </c>
      <c r="C5" s="8"/>
      <c r="D5" s="5"/>
      <c r="E5" s="5">
        <f t="shared" si="1"/>
        <v>0</v>
      </c>
      <c r="F5" s="6"/>
    </row>
    <row r="6" spans="1:6" x14ac:dyDescent="0.3">
      <c r="A6" s="4">
        <f t="shared" si="0"/>
        <v>5</v>
      </c>
      <c r="B6" s="7" t="s">
        <v>37</v>
      </c>
      <c r="C6" s="8"/>
      <c r="D6" s="5">
        <v>0.49375000000000002</v>
      </c>
      <c r="E6" s="5">
        <f t="shared" si="1"/>
        <v>0.49375000000000002</v>
      </c>
      <c r="F6" s="6"/>
    </row>
    <row r="7" spans="1:6" x14ac:dyDescent="0.3">
      <c r="A7" s="4">
        <f t="shared" si="0"/>
        <v>6</v>
      </c>
      <c r="B7" s="7" t="s">
        <v>38</v>
      </c>
      <c r="C7" s="8"/>
      <c r="D7" s="5"/>
      <c r="E7" s="5">
        <f t="shared" si="1"/>
        <v>0</v>
      </c>
      <c r="F7" s="6"/>
    </row>
    <row r="8" spans="1:6" x14ac:dyDescent="0.3">
      <c r="A8" s="4">
        <f t="shared" si="0"/>
        <v>7</v>
      </c>
      <c r="B8" s="7" t="s">
        <v>39</v>
      </c>
      <c r="C8" s="8"/>
      <c r="D8" s="5"/>
      <c r="E8" s="8">
        <f t="shared" si="1"/>
        <v>0</v>
      </c>
      <c r="F8" s="6"/>
    </row>
    <row r="9" spans="1:6" x14ac:dyDescent="0.3">
      <c r="A9" s="4">
        <f t="shared" si="0"/>
        <v>8</v>
      </c>
      <c r="B9" s="7" t="s">
        <v>40</v>
      </c>
      <c r="C9" s="8"/>
      <c r="D9" s="5"/>
      <c r="E9" s="5">
        <f t="shared" si="1"/>
        <v>0</v>
      </c>
      <c r="F9" s="6"/>
    </row>
    <row r="10" spans="1:6" x14ac:dyDescent="0.3">
      <c r="A10" s="4">
        <f t="shared" si="0"/>
        <v>9</v>
      </c>
      <c r="B10" s="7"/>
      <c r="C10" s="8"/>
      <c r="D10" s="5"/>
      <c r="E10" s="5">
        <f t="shared" si="1"/>
        <v>0</v>
      </c>
      <c r="F10" s="6"/>
    </row>
    <row r="11" spans="1:6" x14ac:dyDescent="0.3">
      <c r="A11" s="4">
        <f t="shared" si="0"/>
        <v>10</v>
      </c>
      <c r="B11" s="25"/>
      <c r="C11" s="8"/>
      <c r="D11" s="9"/>
      <c r="E11" s="5">
        <f t="shared" si="1"/>
        <v>0</v>
      </c>
      <c r="F11" s="6"/>
    </row>
    <row r="12" spans="1:6" x14ac:dyDescent="0.3">
      <c r="A12" s="4">
        <f t="shared" si="0"/>
        <v>11</v>
      </c>
      <c r="B12" s="7"/>
      <c r="C12" s="8"/>
      <c r="D12" s="9"/>
      <c r="E12" s="5">
        <f t="shared" si="1"/>
        <v>0</v>
      </c>
      <c r="F12" s="6"/>
    </row>
    <row r="13" spans="1:6" x14ac:dyDescent="0.3">
      <c r="A13" s="4">
        <f t="shared" si="0"/>
        <v>12</v>
      </c>
      <c r="B13" s="7"/>
      <c r="C13" s="8"/>
      <c r="D13" s="9"/>
      <c r="E13" s="5">
        <f t="shared" si="1"/>
        <v>0</v>
      </c>
      <c r="F13" s="6"/>
    </row>
    <row r="14" spans="1:6" x14ac:dyDescent="0.3">
      <c r="A14" s="4">
        <f t="shared" si="0"/>
        <v>13</v>
      </c>
      <c r="B14" s="25" t="s">
        <v>32</v>
      </c>
      <c r="C14" s="8"/>
      <c r="D14" s="9"/>
      <c r="E14" s="5">
        <f t="shared" si="1"/>
        <v>0</v>
      </c>
      <c r="F14" s="6"/>
    </row>
    <row r="15" spans="1:6" x14ac:dyDescent="0.3">
      <c r="A15" s="4">
        <f t="shared" si="0"/>
        <v>14</v>
      </c>
      <c r="B15" s="7"/>
      <c r="C15" s="8"/>
      <c r="D15" s="9"/>
      <c r="E15" s="5">
        <f t="shared" si="1"/>
        <v>0</v>
      </c>
      <c r="F15" s="6"/>
    </row>
    <row r="16" spans="1:6" x14ac:dyDescent="0.3">
      <c r="A16" s="4">
        <f t="shared" si="0"/>
        <v>15</v>
      </c>
      <c r="B16" s="7"/>
      <c r="C16" s="8"/>
      <c r="D16" s="9"/>
      <c r="E16" s="5">
        <f t="shared" si="1"/>
        <v>0</v>
      </c>
      <c r="F16" s="6"/>
    </row>
    <row r="17" spans="1:6" x14ac:dyDescent="0.3">
      <c r="A17" s="4">
        <f t="shared" si="0"/>
        <v>16</v>
      </c>
      <c r="B17" s="7"/>
      <c r="C17" s="8"/>
      <c r="D17" s="9"/>
      <c r="E17" s="5">
        <f t="shared" si="1"/>
        <v>0</v>
      </c>
      <c r="F17" s="6"/>
    </row>
    <row r="18" spans="1:6" x14ac:dyDescent="0.3">
      <c r="A18" s="4">
        <f t="shared" si="0"/>
        <v>17</v>
      </c>
      <c r="B18" s="7" t="s">
        <v>11</v>
      </c>
      <c r="C18" s="8"/>
      <c r="D18" s="9"/>
      <c r="E18" s="5">
        <f t="shared" si="1"/>
        <v>0</v>
      </c>
      <c r="F18" s="6"/>
    </row>
    <row r="19" spans="1:6" x14ac:dyDescent="0.3">
      <c r="A19" s="4">
        <f t="shared" si="0"/>
        <v>18</v>
      </c>
      <c r="B19" s="7" t="s">
        <v>13</v>
      </c>
      <c r="C19" s="8"/>
      <c r="D19" s="9"/>
      <c r="E19" s="5">
        <f t="shared" si="1"/>
        <v>0</v>
      </c>
      <c r="F19" s="6"/>
    </row>
    <row r="20" spans="1:6" x14ac:dyDescent="0.3">
      <c r="A20" s="4">
        <f t="shared" si="0"/>
        <v>19</v>
      </c>
      <c r="B20" s="7" t="s">
        <v>12</v>
      </c>
      <c r="C20" s="8"/>
      <c r="D20" s="9"/>
      <c r="E20" s="5">
        <f t="shared" si="1"/>
        <v>0</v>
      </c>
      <c r="F20" s="6"/>
    </row>
    <row r="21" spans="1:6" ht="15" customHeight="1" thickBot="1" x14ac:dyDescent="0.35">
      <c r="A21" s="4">
        <f t="shared" si="0"/>
        <v>20</v>
      </c>
      <c r="B21" s="7" t="s">
        <v>14</v>
      </c>
      <c r="C21" s="10"/>
      <c r="D21" s="11"/>
      <c r="E21" s="5">
        <f t="shared" si="1"/>
        <v>0</v>
      </c>
      <c r="F21" s="6"/>
    </row>
    <row r="22" spans="1:6" ht="15" customHeight="1" thickBot="1" x14ac:dyDescent="0.35">
      <c r="A22" s="12"/>
      <c r="B22" s="13" t="s">
        <v>15</v>
      </c>
      <c r="C22" s="14"/>
      <c r="D22" s="14"/>
      <c r="E22" s="15">
        <f>SUM(E2:E21)</f>
        <v>0.51458333333333339</v>
      </c>
      <c r="F22" s="16"/>
    </row>
  </sheetData>
  <conditionalFormatting sqref="F2:F21">
    <cfRule type="expression" dxfId="31" priority="1">
      <formula>SEARCH("In-Progress", F2)</formula>
    </cfRule>
    <cfRule type="expression" dxfId="30" priority="2">
      <formula>SEARCH("Incomplete", F2)</formula>
    </cfRule>
    <cfRule type="expression" dxfId="29" priority="3">
      <formula>SEARCH("Completed", F2)</formula>
    </cfRule>
  </conditionalFormatting>
  <dataValidations count="1">
    <dataValidation type="list" allowBlank="1" showInputMessage="1" showErrorMessage="1" sqref="F2:F21" xr:uid="{00000000-0002-0000-0400-000000000000}">
      <formula1>"Completed, Incomplete, In-Progress"</formula1>
    </dataValidation>
  </dataValidations>
  <pageMargins left="0.7" right="0.7" top="0.75" bottom="0.75" header="0.3" footer="0.3"/>
  <pageSetup orientation="portrai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22"/>
  <sheetViews>
    <sheetView workbookViewId="0">
      <selection activeCell="D1" sqref="D1"/>
    </sheetView>
  </sheetViews>
  <sheetFormatPr defaultRowHeight="14.4" x14ac:dyDescent="0.3"/>
  <cols>
    <col min="2" max="2" width="53.109375" customWidth="1"/>
    <col min="3" max="5" width="10.21875" customWidth="1"/>
    <col min="6" max="6" width="12.33203125" customWidth="1"/>
  </cols>
  <sheetData>
    <row r="1" spans="1:6" ht="15" customHeight="1" thickBot="1" x14ac:dyDescent="0.35">
      <c r="A1" s="1" t="s">
        <v>0</v>
      </c>
      <c r="B1" s="2" t="s">
        <v>1</v>
      </c>
      <c r="C1" s="21" t="s">
        <v>2</v>
      </c>
      <c r="D1" s="21" t="s">
        <v>3</v>
      </c>
      <c r="E1" s="3" t="s">
        <v>16</v>
      </c>
      <c r="F1" s="2" t="s">
        <v>6</v>
      </c>
    </row>
    <row r="2" spans="1:6" x14ac:dyDescent="0.3">
      <c r="A2" s="4">
        <f t="shared" ref="A2:A21" si="0">ROW() - ROW($A$1)</f>
        <v>1</v>
      </c>
      <c r="B2" s="23" t="s">
        <v>7</v>
      </c>
      <c r="C2" s="22">
        <v>0.38541666666666669</v>
      </c>
      <c r="D2" s="5">
        <v>0.39583333333333331</v>
      </c>
      <c r="E2" s="5">
        <f t="shared" ref="E2:E21" si="1">D2-C2</f>
        <v>1.041666666666663E-2</v>
      </c>
      <c r="F2" s="6"/>
    </row>
    <row r="3" spans="1:6" x14ac:dyDescent="0.3">
      <c r="A3" s="4">
        <f t="shared" si="0"/>
        <v>2</v>
      </c>
      <c r="B3" s="7" t="s">
        <v>8</v>
      </c>
      <c r="C3" s="8">
        <v>0.39583333333333331</v>
      </c>
      <c r="D3" s="5">
        <v>0.39930555555555558</v>
      </c>
      <c r="E3" s="5">
        <f t="shared" si="1"/>
        <v>3.4722222222222654E-3</v>
      </c>
      <c r="F3" s="6"/>
    </row>
    <row r="4" spans="1:6" x14ac:dyDescent="0.3">
      <c r="A4" s="4">
        <f t="shared" si="0"/>
        <v>3</v>
      </c>
      <c r="B4" s="24" t="s">
        <v>9</v>
      </c>
      <c r="C4" s="8">
        <v>0.39930555555555558</v>
      </c>
      <c r="D4" s="5">
        <v>0.40277777777777779</v>
      </c>
      <c r="E4" s="5">
        <f t="shared" si="1"/>
        <v>3.4722222222222099E-3</v>
      </c>
      <c r="F4" s="6"/>
    </row>
    <row r="5" spans="1:6" ht="28.8" customHeight="1" x14ac:dyDescent="0.3">
      <c r="A5" s="4">
        <f t="shared" si="0"/>
        <v>4</v>
      </c>
      <c r="B5" s="7" t="s">
        <v>36</v>
      </c>
      <c r="C5" s="8">
        <v>0.40277777777777779</v>
      </c>
      <c r="D5" s="5">
        <v>0.41666666666666669</v>
      </c>
      <c r="E5" s="5">
        <f t="shared" si="1"/>
        <v>1.3888888888888895E-2</v>
      </c>
      <c r="F5" s="6"/>
    </row>
    <row r="6" spans="1:6" ht="28.8" customHeight="1" x14ac:dyDescent="0.3">
      <c r="A6" s="4">
        <f t="shared" si="0"/>
        <v>5</v>
      </c>
      <c r="B6" s="7" t="s">
        <v>41</v>
      </c>
      <c r="C6" s="8"/>
      <c r="D6" s="5"/>
      <c r="E6" s="5">
        <f t="shared" si="1"/>
        <v>0</v>
      </c>
      <c r="F6" s="6"/>
    </row>
    <row r="7" spans="1:6" x14ac:dyDescent="0.3">
      <c r="A7" s="4">
        <f t="shared" si="0"/>
        <v>6</v>
      </c>
      <c r="B7" s="7" t="s">
        <v>42</v>
      </c>
      <c r="C7" s="8"/>
      <c r="D7" s="5"/>
      <c r="E7" s="5">
        <f t="shared" si="1"/>
        <v>0</v>
      </c>
      <c r="F7" s="6"/>
    </row>
    <row r="8" spans="1:6" x14ac:dyDescent="0.3">
      <c r="A8" s="4">
        <f t="shared" si="0"/>
        <v>7</v>
      </c>
      <c r="B8" s="7" t="s">
        <v>43</v>
      </c>
      <c r="C8" s="8"/>
      <c r="D8" s="5"/>
      <c r="E8" s="8">
        <f t="shared" si="1"/>
        <v>0</v>
      </c>
      <c r="F8" s="6"/>
    </row>
    <row r="9" spans="1:6" x14ac:dyDescent="0.3">
      <c r="A9" s="4">
        <f t="shared" si="0"/>
        <v>8</v>
      </c>
      <c r="B9" s="7" t="s">
        <v>44</v>
      </c>
      <c r="C9" s="8"/>
      <c r="D9" s="5"/>
      <c r="E9" s="5">
        <f t="shared" si="1"/>
        <v>0</v>
      </c>
      <c r="F9" s="6"/>
    </row>
    <row r="10" spans="1:6" x14ac:dyDescent="0.3">
      <c r="A10" s="4">
        <f t="shared" si="0"/>
        <v>9</v>
      </c>
      <c r="B10" s="7" t="s">
        <v>45</v>
      </c>
      <c r="C10" s="8"/>
      <c r="D10" s="5"/>
      <c r="E10" s="5">
        <f t="shared" si="1"/>
        <v>0</v>
      </c>
      <c r="F10" s="6"/>
    </row>
    <row r="11" spans="1:6" x14ac:dyDescent="0.3">
      <c r="A11" s="4">
        <f t="shared" si="0"/>
        <v>10</v>
      </c>
      <c r="B11" s="7"/>
      <c r="C11" s="8"/>
      <c r="D11" s="9"/>
      <c r="E11" s="5">
        <f t="shared" si="1"/>
        <v>0</v>
      </c>
      <c r="F11" s="6"/>
    </row>
    <row r="12" spans="1:6" x14ac:dyDescent="0.3">
      <c r="A12" s="4">
        <f t="shared" si="0"/>
        <v>11</v>
      </c>
      <c r="B12" s="7"/>
      <c r="C12" s="8"/>
      <c r="D12" s="9"/>
      <c r="E12" s="5">
        <f t="shared" si="1"/>
        <v>0</v>
      </c>
      <c r="F12" s="6"/>
    </row>
    <row r="13" spans="1:6" x14ac:dyDescent="0.3">
      <c r="A13" s="4">
        <f t="shared" si="0"/>
        <v>12</v>
      </c>
      <c r="B13" s="7"/>
      <c r="C13" s="8"/>
      <c r="D13" s="9"/>
      <c r="E13" s="5">
        <f t="shared" si="1"/>
        <v>0</v>
      </c>
      <c r="F13" s="6"/>
    </row>
    <row r="14" spans="1:6" x14ac:dyDescent="0.3">
      <c r="A14" s="4">
        <f t="shared" si="0"/>
        <v>13</v>
      </c>
      <c r="B14" s="7"/>
      <c r="C14" s="8"/>
      <c r="D14" s="9"/>
      <c r="E14" s="5">
        <f t="shared" si="1"/>
        <v>0</v>
      </c>
      <c r="F14" s="6"/>
    </row>
    <row r="15" spans="1:6" x14ac:dyDescent="0.3">
      <c r="A15" s="4">
        <f t="shared" si="0"/>
        <v>14</v>
      </c>
      <c r="B15" s="7"/>
      <c r="C15" s="8"/>
      <c r="D15" s="9"/>
      <c r="E15" s="5">
        <f t="shared" si="1"/>
        <v>0</v>
      </c>
      <c r="F15" s="6"/>
    </row>
    <row r="16" spans="1:6" x14ac:dyDescent="0.3">
      <c r="A16" s="4">
        <f t="shared" si="0"/>
        <v>15</v>
      </c>
      <c r="B16" s="7"/>
      <c r="C16" s="8"/>
      <c r="D16" s="9"/>
      <c r="E16" s="5">
        <f t="shared" si="1"/>
        <v>0</v>
      </c>
      <c r="F16" s="6"/>
    </row>
    <row r="17" spans="1:6" x14ac:dyDescent="0.3">
      <c r="A17" s="4">
        <f t="shared" si="0"/>
        <v>16</v>
      </c>
      <c r="B17" s="7"/>
      <c r="C17" s="8"/>
      <c r="D17" s="9"/>
      <c r="E17" s="5">
        <f t="shared" si="1"/>
        <v>0</v>
      </c>
      <c r="F17" s="6"/>
    </row>
    <row r="18" spans="1:6" x14ac:dyDescent="0.3">
      <c r="A18" s="4">
        <f t="shared" si="0"/>
        <v>17</v>
      </c>
      <c r="B18" s="7" t="s">
        <v>11</v>
      </c>
      <c r="C18" s="8"/>
      <c r="D18" s="9"/>
      <c r="E18" s="5">
        <f t="shared" si="1"/>
        <v>0</v>
      </c>
      <c r="F18" s="6"/>
    </row>
    <row r="19" spans="1:6" x14ac:dyDescent="0.3">
      <c r="A19" s="4">
        <f t="shared" si="0"/>
        <v>18</v>
      </c>
      <c r="B19" s="7" t="s">
        <v>13</v>
      </c>
      <c r="C19" s="8"/>
      <c r="D19" s="9"/>
      <c r="E19" s="5">
        <f t="shared" si="1"/>
        <v>0</v>
      </c>
      <c r="F19" s="6"/>
    </row>
    <row r="20" spans="1:6" x14ac:dyDescent="0.3">
      <c r="A20" s="4">
        <f t="shared" si="0"/>
        <v>19</v>
      </c>
      <c r="B20" s="7" t="s">
        <v>12</v>
      </c>
      <c r="C20" s="8"/>
      <c r="D20" s="9"/>
      <c r="E20" s="5">
        <f t="shared" si="1"/>
        <v>0</v>
      </c>
      <c r="F20" s="6"/>
    </row>
    <row r="21" spans="1:6" ht="15" customHeight="1" thickBot="1" x14ac:dyDescent="0.35">
      <c r="A21" s="4">
        <f t="shared" si="0"/>
        <v>20</v>
      </c>
      <c r="B21" s="7" t="s">
        <v>14</v>
      </c>
      <c r="C21" s="10"/>
      <c r="D21" s="11"/>
      <c r="E21" s="5">
        <f t="shared" si="1"/>
        <v>0</v>
      </c>
      <c r="F21" s="6"/>
    </row>
    <row r="22" spans="1:6" ht="15" customHeight="1" thickBot="1" x14ac:dyDescent="0.35">
      <c r="A22" s="12"/>
      <c r="B22" s="13" t="s">
        <v>15</v>
      </c>
      <c r="C22" s="14"/>
      <c r="D22" s="14"/>
      <c r="E22" s="15">
        <f>SUM(E2:E21)</f>
        <v>3.125E-2</v>
      </c>
      <c r="F22" s="16"/>
    </row>
  </sheetData>
  <conditionalFormatting sqref="F2:F21">
    <cfRule type="expression" dxfId="28" priority="1">
      <formula>SEARCH("In-Progress", F2)</formula>
    </cfRule>
    <cfRule type="expression" dxfId="27" priority="2">
      <formula>SEARCH("Incomplete", F2)</formula>
    </cfRule>
    <cfRule type="expression" dxfId="26" priority="3">
      <formula>SEARCH("Completed", F2)</formula>
    </cfRule>
  </conditionalFormatting>
  <dataValidations count="1">
    <dataValidation type="list" allowBlank="1" showInputMessage="1" showErrorMessage="1" sqref="F2:F21" xr:uid="{00000000-0002-0000-0500-000000000000}">
      <formula1>"Completed, Incomplete, In-Progress"</formula1>
    </dataValidation>
  </dataValidation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G22"/>
  <sheetViews>
    <sheetView workbookViewId="0">
      <selection activeCell="G10" sqref="G10"/>
    </sheetView>
  </sheetViews>
  <sheetFormatPr defaultRowHeight="14.4" x14ac:dyDescent="0.3"/>
  <cols>
    <col min="2" max="2" width="53.109375" customWidth="1"/>
    <col min="3" max="4" width="10.21875" customWidth="1"/>
    <col min="5" max="5" width="12.44140625" bestFit="1" customWidth="1"/>
    <col min="6" max="6" width="10.88671875" bestFit="1" customWidth="1"/>
    <col min="7" max="7" width="12.33203125" customWidth="1"/>
  </cols>
  <sheetData>
    <row r="1" spans="1:7" ht="15" customHeight="1" thickBot="1" x14ac:dyDescent="0.35">
      <c r="A1" s="1" t="s">
        <v>0</v>
      </c>
      <c r="B1" s="2" t="s">
        <v>1</v>
      </c>
      <c r="C1" s="21" t="s">
        <v>2</v>
      </c>
      <c r="D1" s="21" t="s">
        <v>3</v>
      </c>
      <c r="E1" s="27" t="s">
        <v>4</v>
      </c>
      <c r="F1" s="3" t="s">
        <v>5</v>
      </c>
      <c r="G1" s="2" t="s">
        <v>6</v>
      </c>
    </row>
    <row r="2" spans="1:7" x14ac:dyDescent="0.3">
      <c r="A2" s="4">
        <f t="shared" ref="A2:A21" si="0">ROW() - ROW($A$1)</f>
        <v>1</v>
      </c>
      <c r="B2" s="23" t="s">
        <v>7</v>
      </c>
      <c r="C2" s="22">
        <v>0.38541666666666669</v>
      </c>
      <c r="D2" s="5">
        <v>0.3923611111111111</v>
      </c>
      <c r="E2" s="19">
        <v>1.041666666666667E-2</v>
      </c>
      <c r="F2" s="5">
        <f t="shared" ref="F2:F21" si="1">D2-C2</f>
        <v>6.9444444444444198E-3</v>
      </c>
      <c r="G2" s="6" t="s">
        <v>18</v>
      </c>
    </row>
    <row r="3" spans="1:7" x14ac:dyDescent="0.3">
      <c r="A3" s="4">
        <f t="shared" si="0"/>
        <v>2</v>
      </c>
      <c r="B3" s="7" t="s">
        <v>8</v>
      </c>
      <c r="C3" s="8">
        <v>0.3923611111111111</v>
      </c>
      <c r="D3" s="5"/>
      <c r="E3" s="5">
        <v>1.388888888888889E-2</v>
      </c>
      <c r="F3" s="5">
        <f t="shared" si="1"/>
        <v>-0.3923611111111111</v>
      </c>
      <c r="G3" s="6" t="s">
        <v>18</v>
      </c>
    </row>
    <row r="4" spans="1:7" x14ac:dyDescent="0.3">
      <c r="A4" s="4">
        <f t="shared" si="0"/>
        <v>3</v>
      </c>
      <c r="B4" s="24" t="s">
        <v>9</v>
      </c>
      <c r="C4" s="8"/>
      <c r="D4" s="5"/>
      <c r="E4" s="5"/>
      <c r="F4" s="5">
        <f t="shared" si="1"/>
        <v>0</v>
      </c>
      <c r="G4" s="6" t="s">
        <v>18</v>
      </c>
    </row>
    <row r="5" spans="1:7" x14ac:dyDescent="0.3">
      <c r="A5" s="4">
        <f t="shared" si="0"/>
        <v>4</v>
      </c>
      <c r="B5" s="7" t="s">
        <v>10</v>
      </c>
      <c r="C5" s="8">
        <v>0.3923611111111111</v>
      </c>
      <c r="D5" s="5"/>
      <c r="E5" s="5"/>
      <c r="F5" s="5">
        <f t="shared" si="1"/>
        <v>-0.3923611111111111</v>
      </c>
      <c r="G5" s="6" t="s">
        <v>18</v>
      </c>
    </row>
    <row r="6" spans="1:7" ht="28.8" customHeight="1" x14ac:dyDescent="0.3">
      <c r="A6" s="4">
        <f t="shared" si="0"/>
        <v>5</v>
      </c>
      <c r="B6" s="7" t="s">
        <v>46</v>
      </c>
      <c r="C6" s="8"/>
      <c r="D6" s="5"/>
      <c r="E6" s="5"/>
      <c r="F6" s="5">
        <f t="shared" si="1"/>
        <v>0</v>
      </c>
      <c r="G6" s="6" t="s">
        <v>18</v>
      </c>
    </row>
    <row r="7" spans="1:7" x14ac:dyDescent="0.3">
      <c r="A7" s="4">
        <f t="shared" si="0"/>
        <v>6</v>
      </c>
      <c r="B7" s="7" t="s">
        <v>47</v>
      </c>
      <c r="C7" s="8"/>
      <c r="D7" s="5"/>
      <c r="E7" s="5"/>
      <c r="F7" s="5">
        <f t="shared" si="1"/>
        <v>0</v>
      </c>
      <c r="G7" s="6" t="s">
        <v>18</v>
      </c>
    </row>
    <row r="8" spans="1:7" ht="28.8" customHeight="1" x14ac:dyDescent="0.3">
      <c r="A8" s="4">
        <f t="shared" si="0"/>
        <v>7</v>
      </c>
      <c r="B8" s="7" t="s">
        <v>48</v>
      </c>
      <c r="C8" s="8"/>
      <c r="D8" s="5"/>
      <c r="E8" s="5"/>
      <c r="F8" s="8">
        <f t="shared" si="1"/>
        <v>0</v>
      </c>
      <c r="G8" s="6"/>
    </row>
    <row r="9" spans="1:7" x14ac:dyDescent="0.3">
      <c r="A9" s="4">
        <f t="shared" si="0"/>
        <v>8</v>
      </c>
      <c r="B9" s="7" t="s">
        <v>49</v>
      </c>
      <c r="C9" s="8"/>
      <c r="D9" s="5"/>
      <c r="E9" s="5"/>
      <c r="F9" s="5">
        <f t="shared" si="1"/>
        <v>0</v>
      </c>
      <c r="G9" s="6"/>
    </row>
    <row r="10" spans="1:7" x14ac:dyDescent="0.3">
      <c r="A10" s="4">
        <f t="shared" si="0"/>
        <v>9</v>
      </c>
      <c r="B10" s="7"/>
      <c r="C10" s="8"/>
      <c r="D10" s="5"/>
      <c r="E10" s="5"/>
      <c r="F10" s="5">
        <f t="shared" si="1"/>
        <v>0</v>
      </c>
      <c r="G10" s="6"/>
    </row>
    <row r="11" spans="1:7" x14ac:dyDescent="0.3">
      <c r="A11" s="4">
        <f t="shared" si="0"/>
        <v>10</v>
      </c>
      <c r="B11" s="7"/>
      <c r="C11" s="8"/>
      <c r="D11" s="9"/>
      <c r="E11" s="9"/>
      <c r="F11" s="5">
        <f t="shared" si="1"/>
        <v>0</v>
      </c>
      <c r="G11" s="6"/>
    </row>
    <row r="12" spans="1:7" x14ac:dyDescent="0.3">
      <c r="A12" s="4">
        <f t="shared" si="0"/>
        <v>11</v>
      </c>
      <c r="B12" s="7"/>
      <c r="C12" s="8"/>
      <c r="D12" s="9"/>
      <c r="E12" s="9"/>
      <c r="F12" s="5">
        <f t="shared" si="1"/>
        <v>0</v>
      </c>
      <c r="G12" s="6"/>
    </row>
    <row r="13" spans="1:7" x14ac:dyDescent="0.3">
      <c r="A13" s="4">
        <f t="shared" si="0"/>
        <v>12</v>
      </c>
      <c r="B13" s="7"/>
      <c r="C13" s="8"/>
      <c r="D13" s="9"/>
      <c r="E13" s="9"/>
      <c r="F13" s="5">
        <f t="shared" si="1"/>
        <v>0</v>
      </c>
      <c r="G13" s="6"/>
    </row>
    <row r="14" spans="1:7" x14ac:dyDescent="0.3">
      <c r="A14" s="4">
        <f t="shared" si="0"/>
        <v>13</v>
      </c>
      <c r="B14" s="7"/>
      <c r="C14" s="8"/>
      <c r="D14" s="9"/>
      <c r="E14" s="9"/>
      <c r="F14" s="5">
        <f t="shared" si="1"/>
        <v>0</v>
      </c>
      <c r="G14" s="6"/>
    </row>
    <row r="15" spans="1:7" x14ac:dyDescent="0.3">
      <c r="A15" s="4">
        <f t="shared" si="0"/>
        <v>14</v>
      </c>
      <c r="B15" s="7"/>
      <c r="C15" s="8"/>
      <c r="D15" s="9"/>
      <c r="E15" s="9"/>
      <c r="F15" s="5">
        <f t="shared" si="1"/>
        <v>0</v>
      </c>
      <c r="G15" s="6"/>
    </row>
    <row r="16" spans="1:7" x14ac:dyDescent="0.3">
      <c r="A16" s="4">
        <f t="shared" si="0"/>
        <v>15</v>
      </c>
      <c r="B16" s="7"/>
      <c r="C16" s="8"/>
      <c r="D16" s="9"/>
      <c r="E16" s="9"/>
      <c r="F16" s="5">
        <f t="shared" si="1"/>
        <v>0</v>
      </c>
      <c r="G16" s="6"/>
    </row>
    <row r="17" spans="1:7" x14ac:dyDescent="0.3">
      <c r="A17" s="4">
        <f t="shared" si="0"/>
        <v>16</v>
      </c>
      <c r="B17" s="7"/>
      <c r="C17" s="8"/>
      <c r="D17" s="9"/>
      <c r="E17" s="9"/>
      <c r="F17" s="5">
        <f t="shared" si="1"/>
        <v>0</v>
      </c>
      <c r="G17" s="6"/>
    </row>
    <row r="18" spans="1:7" x14ac:dyDescent="0.3">
      <c r="A18" s="4">
        <f t="shared" si="0"/>
        <v>17</v>
      </c>
      <c r="B18" s="7" t="s">
        <v>11</v>
      </c>
      <c r="C18" s="8"/>
      <c r="D18" s="9"/>
      <c r="E18" s="9"/>
      <c r="F18" s="5">
        <f t="shared" si="1"/>
        <v>0</v>
      </c>
      <c r="G18" s="6" t="s">
        <v>18</v>
      </c>
    </row>
    <row r="19" spans="1:7" x14ac:dyDescent="0.3">
      <c r="A19" s="4">
        <f t="shared" si="0"/>
        <v>18</v>
      </c>
      <c r="B19" s="7" t="s">
        <v>13</v>
      </c>
      <c r="C19" s="8"/>
      <c r="D19" s="9"/>
      <c r="E19" s="9"/>
      <c r="F19" s="5">
        <f t="shared" si="1"/>
        <v>0</v>
      </c>
      <c r="G19" s="6" t="s">
        <v>18</v>
      </c>
    </row>
    <row r="20" spans="1:7" x14ac:dyDescent="0.3">
      <c r="A20" s="4">
        <f t="shared" si="0"/>
        <v>19</v>
      </c>
      <c r="B20" s="7" t="s">
        <v>12</v>
      </c>
      <c r="C20" s="8"/>
      <c r="D20" s="9"/>
      <c r="E20" s="9"/>
      <c r="F20" s="5">
        <f t="shared" si="1"/>
        <v>0</v>
      </c>
      <c r="G20" s="6" t="s">
        <v>18</v>
      </c>
    </row>
    <row r="21" spans="1:7" ht="15" customHeight="1" thickBot="1" x14ac:dyDescent="0.35">
      <c r="A21" s="4">
        <f t="shared" si="0"/>
        <v>20</v>
      </c>
      <c r="B21" s="7" t="s">
        <v>14</v>
      </c>
      <c r="C21" s="10"/>
      <c r="D21" s="11"/>
      <c r="E21" s="9"/>
      <c r="F21" s="5">
        <f t="shared" si="1"/>
        <v>0</v>
      </c>
      <c r="G21" s="6"/>
    </row>
    <row r="22" spans="1:7" ht="15" customHeight="1" thickBot="1" x14ac:dyDescent="0.35">
      <c r="A22" s="12"/>
      <c r="B22" s="13" t="s">
        <v>15</v>
      </c>
      <c r="C22" s="14"/>
      <c r="D22" s="14"/>
      <c r="E22" s="26"/>
      <c r="F22" s="15">
        <f>SUM(F2:F21)</f>
        <v>-0.77777777777777779</v>
      </c>
      <c r="G22" s="16"/>
    </row>
  </sheetData>
  <conditionalFormatting sqref="G2:G21">
    <cfRule type="expression" dxfId="25" priority="1">
      <formula>SEARCH("In-Progress", G2)</formula>
    </cfRule>
    <cfRule type="expression" dxfId="24" priority="2">
      <formula>SEARCH("Incomplete", G2)</formula>
    </cfRule>
    <cfRule type="expression" dxfId="23" priority="3">
      <formula>SEARCH("Completed", G2)</formula>
    </cfRule>
  </conditionalFormatting>
  <dataValidations count="1">
    <dataValidation type="list" allowBlank="1" showInputMessage="1" showErrorMessage="1" sqref="G2:G21" xr:uid="{00000000-0002-0000-0600-000000000000}">
      <formula1>"Completed, Incomplete, In-Progress"</formula1>
    </dataValidation>
  </dataValidation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G22"/>
  <sheetViews>
    <sheetView workbookViewId="0">
      <selection activeCell="G6" sqref="G6"/>
    </sheetView>
  </sheetViews>
  <sheetFormatPr defaultRowHeight="14.4" x14ac:dyDescent="0.3"/>
  <cols>
    <col min="2" max="2" width="53.109375" customWidth="1"/>
    <col min="3" max="4" width="10.21875" customWidth="1"/>
    <col min="5" max="5" width="12.44140625" bestFit="1" customWidth="1"/>
    <col min="6" max="6" width="10.88671875" bestFit="1" customWidth="1"/>
    <col min="7" max="7" width="12.33203125" customWidth="1"/>
  </cols>
  <sheetData>
    <row r="1" spans="1:7" ht="15" customHeight="1" thickBot="1" x14ac:dyDescent="0.35">
      <c r="A1" s="1" t="s">
        <v>0</v>
      </c>
      <c r="B1" s="2" t="s">
        <v>1</v>
      </c>
      <c r="C1" s="21" t="s">
        <v>2</v>
      </c>
      <c r="D1" s="27" t="s">
        <v>3</v>
      </c>
      <c r="E1" s="27" t="s">
        <v>4</v>
      </c>
      <c r="F1" s="3" t="s">
        <v>5</v>
      </c>
      <c r="G1" s="2" t="s">
        <v>6</v>
      </c>
    </row>
    <row r="2" spans="1:7" x14ac:dyDescent="0.3">
      <c r="A2" s="4">
        <f t="shared" ref="A2:A21" si="0">ROW() - ROW($A$1)</f>
        <v>1</v>
      </c>
      <c r="B2" s="23" t="s">
        <v>7</v>
      </c>
      <c r="C2" s="22">
        <v>0.42777777777777781</v>
      </c>
      <c r="D2" s="19">
        <v>0.43055555555555558</v>
      </c>
      <c r="E2" s="19">
        <v>1.388888888888889E-2</v>
      </c>
      <c r="F2" s="5">
        <f t="shared" ref="F2:F21" si="1">D2-C2</f>
        <v>2.7777777777777679E-3</v>
      </c>
      <c r="G2" s="6" t="s">
        <v>18</v>
      </c>
    </row>
    <row r="3" spans="1:7" x14ac:dyDescent="0.3">
      <c r="A3" s="4">
        <f t="shared" si="0"/>
        <v>2</v>
      </c>
      <c r="B3" s="7" t="s">
        <v>8</v>
      </c>
      <c r="C3" s="8">
        <v>0.43055555555555558</v>
      </c>
      <c r="D3" s="5">
        <v>0.43402777777777779</v>
      </c>
      <c r="E3" s="5">
        <v>1.7361111111111108E-2</v>
      </c>
      <c r="F3" s="5">
        <f t="shared" si="1"/>
        <v>3.4722222222222099E-3</v>
      </c>
      <c r="G3" s="6" t="s">
        <v>18</v>
      </c>
    </row>
    <row r="4" spans="1:7" x14ac:dyDescent="0.3">
      <c r="A4" s="4">
        <f t="shared" si="0"/>
        <v>3</v>
      </c>
      <c r="B4" s="24" t="s">
        <v>9</v>
      </c>
      <c r="C4" s="8">
        <v>0.43402777777777779</v>
      </c>
      <c r="D4" s="5">
        <v>0.4375</v>
      </c>
      <c r="E4" s="5">
        <v>6.9444444444444441E-3</v>
      </c>
      <c r="F4" s="5">
        <f t="shared" si="1"/>
        <v>3.4722222222222099E-3</v>
      </c>
      <c r="G4" s="6" t="s">
        <v>18</v>
      </c>
    </row>
    <row r="5" spans="1:7" x14ac:dyDescent="0.3">
      <c r="A5" s="4">
        <f t="shared" si="0"/>
        <v>4</v>
      </c>
      <c r="B5" s="7" t="s">
        <v>50</v>
      </c>
      <c r="C5" s="8">
        <v>0.4513888888888889</v>
      </c>
      <c r="D5" s="5">
        <v>0.46875</v>
      </c>
      <c r="E5" s="5">
        <v>4.1666666666666657E-2</v>
      </c>
      <c r="F5" s="5">
        <f t="shared" si="1"/>
        <v>1.7361111111111105E-2</v>
      </c>
      <c r="G5" s="6" t="s">
        <v>18</v>
      </c>
    </row>
    <row r="6" spans="1:7" ht="28.8" customHeight="1" x14ac:dyDescent="0.3">
      <c r="A6" s="4">
        <f t="shared" si="0"/>
        <v>5</v>
      </c>
      <c r="B6" s="7" t="s">
        <v>51</v>
      </c>
      <c r="C6" s="8"/>
      <c r="D6" s="5"/>
      <c r="E6" s="5"/>
      <c r="F6" s="5">
        <f t="shared" si="1"/>
        <v>0</v>
      </c>
      <c r="G6" s="6"/>
    </row>
    <row r="7" spans="1:7" x14ac:dyDescent="0.3">
      <c r="A7" s="4">
        <f t="shared" si="0"/>
        <v>6</v>
      </c>
      <c r="B7" s="7" t="s">
        <v>52</v>
      </c>
      <c r="C7" s="8"/>
      <c r="D7" s="5"/>
      <c r="E7" s="5"/>
      <c r="F7" s="5">
        <f t="shared" si="1"/>
        <v>0</v>
      </c>
      <c r="G7" s="6"/>
    </row>
    <row r="8" spans="1:7" x14ac:dyDescent="0.3">
      <c r="A8" s="4">
        <f t="shared" si="0"/>
        <v>7</v>
      </c>
      <c r="B8" s="7" t="s">
        <v>53</v>
      </c>
      <c r="C8" s="8"/>
      <c r="D8" s="5"/>
      <c r="E8" s="5"/>
      <c r="F8" s="8">
        <f t="shared" si="1"/>
        <v>0</v>
      </c>
      <c r="G8" s="6"/>
    </row>
    <row r="9" spans="1:7" x14ac:dyDescent="0.3">
      <c r="A9" s="4">
        <f t="shared" si="0"/>
        <v>8</v>
      </c>
      <c r="B9" s="7"/>
      <c r="C9" s="8"/>
      <c r="D9" s="5"/>
      <c r="E9" s="5"/>
      <c r="F9" s="5">
        <f t="shared" si="1"/>
        <v>0</v>
      </c>
      <c r="G9" s="6"/>
    </row>
    <row r="10" spans="1:7" x14ac:dyDescent="0.3">
      <c r="A10" s="4">
        <f t="shared" si="0"/>
        <v>9</v>
      </c>
      <c r="B10" s="7" t="s">
        <v>54</v>
      </c>
      <c r="C10" s="8"/>
      <c r="D10" s="5"/>
      <c r="E10" s="5"/>
      <c r="F10" s="5">
        <f t="shared" si="1"/>
        <v>0</v>
      </c>
      <c r="G10" s="6"/>
    </row>
    <row r="11" spans="1:7" x14ac:dyDescent="0.3">
      <c r="A11" s="4">
        <f t="shared" si="0"/>
        <v>10</v>
      </c>
      <c r="B11" s="7" t="s">
        <v>55</v>
      </c>
      <c r="C11" s="8"/>
      <c r="D11" s="9"/>
      <c r="E11" s="9"/>
      <c r="F11" s="5">
        <f t="shared" si="1"/>
        <v>0</v>
      </c>
      <c r="G11" s="6"/>
    </row>
    <row r="12" spans="1:7" x14ac:dyDescent="0.3">
      <c r="A12" s="4">
        <f t="shared" si="0"/>
        <v>11</v>
      </c>
      <c r="B12" s="7" t="s">
        <v>56</v>
      </c>
      <c r="C12" s="8"/>
      <c r="D12" s="9"/>
      <c r="E12" s="9"/>
      <c r="F12" s="5">
        <f t="shared" si="1"/>
        <v>0</v>
      </c>
      <c r="G12" s="6"/>
    </row>
    <row r="13" spans="1:7" x14ac:dyDescent="0.3">
      <c r="A13" s="4">
        <f t="shared" si="0"/>
        <v>12</v>
      </c>
      <c r="B13" s="7" t="s">
        <v>57</v>
      </c>
      <c r="C13" s="8"/>
      <c r="D13" s="9"/>
      <c r="E13" s="9"/>
      <c r="F13" s="5">
        <f t="shared" si="1"/>
        <v>0</v>
      </c>
      <c r="G13" s="6"/>
    </row>
    <row r="14" spans="1:7" x14ac:dyDescent="0.3">
      <c r="A14" s="4">
        <f t="shared" si="0"/>
        <v>13</v>
      </c>
      <c r="B14" s="7"/>
      <c r="C14" s="8"/>
      <c r="D14" s="9"/>
      <c r="E14" s="9"/>
      <c r="F14" s="5">
        <f t="shared" si="1"/>
        <v>0</v>
      </c>
      <c r="G14" s="6"/>
    </row>
    <row r="15" spans="1:7" x14ac:dyDescent="0.3">
      <c r="A15" s="4">
        <f t="shared" si="0"/>
        <v>14</v>
      </c>
      <c r="B15" s="7"/>
      <c r="C15" s="8"/>
      <c r="D15" s="9"/>
      <c r="E15" s="9"/>
      <c r="F15" s="5">
        <f t="shared" si="1"/>
        <v>0</v>
      </c>
      <c r="G15" s="6"/>
    </row>
    <row r="16" spans="1:7" x14ac:dyDescent="0.3">
      <c r="A16" s="4">
        <f t="shared" si="0"/>
        <v>15</v>
      </c>
      <c r="B16" s="7"/>
      <c r="C16" s="8"/>
      <c r="D16" s="9"/>
      <c r="E16" s="9"/>
      <c r="F16" s="5">
        <f t="shared" si="1"/>
        <v>0</v>
      </c>
      <c r="G16" s="6"/>
    </row>
    <row r="17" spans="1:7" x14ac:dyDescent="0.3">
      <c r="A17" s="4">
        <f t="shared" si="0"/>
        <v>16</v>
      </c>
      <c r="B17" s="7"/>
      <c r="C17" s="8"/>
      <c r="D17" s="9"/>
      <c r="E17" s="9"/>
      <c r="F17" s="5">
        <f t="shared" si="1"/>
        <v>0</v>
      </c>
      <c r="G17" s="6"/>
    </row>
    <row r="18" spans="1:7" x14ac:dyDescent="0.3">
      <c r="A18" s="4">
        <f t="shared" si="0"/>
        <v>17</v>
      </c>
      <c r="B18" s="7" t="s">
        <v>11</v>
      </c>
      <c r="C18" s="8"/>
      <c r="D18" s="9"/>
      <c r="E18" s="9"/>
      <c r="F18" s="5">
        <f t="shared" si="1"/>
        <v>0</v>
      </c>
      <c r="G18" s="6"/>
    </row>
    <row r="19" spans="1:7" x14ac:dyDescent="0.3">
      <c r="A19" s="4">
        <f t="shared" si="0"/>
        <v>18</v>
      </c>
      <c r="B19" s="7" t="s">
        <v>12</v>
      </c>
      <c r="C19" s="8"/>
      <c r="D19" s="9"/>
      <c r="E19" s="9"/>
      <c r="F19" s="5">
        <f t="shared" si="1"/>
        <v>0</v>
      </c>
      <c r="G19" s="6"/>
    </row>
    <row r="20" spans="1:7" x14ac:dyDescent="0.3">
      <c r="A20" s="4">
        <f t="shared" si="0"/>
        <v>19</v>
      </c>
      <c r="B20" s="7" t="s">
        <v>13</v>
      </c>
      <c r="C20" s="8"/>
      <c r="D20" s="9"/>
      <c r="E20" s="9"/>
      <c r="F20" s="5">
        <f t="shared" si="1"/>
        <v>0</v>
      </c>
      <c r="G20" s="6"/>
    </row>
    <row r="21" spans="1:7" ht="15" customHeight="1" thickBot="1" x14ac:dyDescent="0.35">
      <c r="A21" s="4">
        <f t="shared" si="0"/>
        <v>20</v>
      </c>
      <c r="B21" s="7" t="s">
        <v>14</v>
      </c>
      <c r="C21" s="10"/>
      <c r="D21" s="11">
        <v>0.77152777777777781</v>
      </c>
      <c r="E21" s="9"/>
      <c r="F21" s="5">
        <f t="shared" si="1"/>
        <v>0.77152777777777781</v>
      </c>
      <c r="G21" s="6"/>
    </row>
    <row r="22" spans="1:7" ht="15" customHeight="1" thickBot="1" x14ac:dyDescent="0.35">
      <c r="A22" s="12"/>
      <c r="B22" s="13" t="s">
        <v>15</v>
      </c>
      <c r="C22" s="14"/>
      <c r="D22" s="14"/>
      <c r="E22" s="26"/>
      <c r="F22" s="15">
        <f>SUM(F2:F21)</f>
        <v>0.79861111111111116</v>
      </c>
      <c r="G22" s="16"/>
    </row>
  </sheetData>
  <conditionalFormatting sqref="G2:G21">
    <cfRule type="expression" dxfId="22" priority="1">
      <formula>SEARCH("In-Progress", G2)</formula>
    </cfRule>
    <cfRule type="expression" dxfId="21" priority="2">
      <formula>SEARCH("Incomplete", G2)</formula>
    </cfRule>
    <cfRule type="expression" dxfId="20" priority="3">
      <formula>SEARCH("Completed", G2)</formula>
    </cfRule>
  </conditionalFormatting>
  <dataValidations count="1">
    <dataValidation type="list" allowBlank="1" showInputMessage="1" showErrorMessage="1" sqref="G2:G21" xr:uid="{00000000-0002-0000-0700-000000000000}">
      <formula1>"Completed, Incomplete, In-Progress"</formula1>
    </dataValidation>
  </dataValidation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U22"/>
  <sheetViews>
    <sheetView workbookViewId="0">
      <selection activeCell="J9" sqref="J9:J11"/>
    </sheetView>
  </sheetViews>
  <sheetFormatPr defaultRowHeight="14.4" x14ac:dyDescent="0.3"/>
  <cols>
    <col min="2" max="2" width="53.109375" customWidth="1"/>
    <col min="3" max="4" width="10.21875" customWidth="1"/>
    <col min="5" max="5" width="12.44140625" bestFit="1" customWidth="1"/>
    <col min="6" max="6" width="10.88671875" bestFit="1" customWidth="1"/>
    <col min="7" max="7" width="15.5546875" customWidth="1"/>
    <col min="9" max="9" width="7.109375" bestFit="1" customWidth="1"/>
    <col min="10" max="12" width="25.6640625" customWidth="1"/>
    <col min="16" max="21" width="19.33203125" customWidth="1"/>
  </cols>
  <sheetData>
    <row r="1" spans="1:21" ht="15" customHeight="1" thickBot="1" x14ac:dyDescent="0.35">
      <c r="A1" s="1" t="s">
        <v>0</v>
      </c>
      <c r="B1" s="2" t="s">
        <v>1</v>
      </c>
      <c r="C1" s="21" t="s">
        <v>2</v>
      </c>
      <c r="D1" s="27" t="s">
        <v>3</v>
      </c>
      <c r="E1" s="27" t="s">
        <v>4</v>
      </c>
      <c r="F1" s="3" t="s">
        <v>5</v>
      </c>
      <c r="G1" s="2" t="s">
        <v>6</v>
      </c>
      <c r="I1" s="34" t="s">
        <v>58</v>
      </c>
      <c r="J1" s="35" t="s">
        <v>59</v>
      </c>
      <c r="K1" s="36" t="s">
        <v>60</v>
      </c>
      <c r="L1" s="37" t="s">
        <v>61</v>
      </c>
      <c r="M1" s="36" t="s">
        <v>62</v>
      </c>
      <c r="N1" s="35" t="s">
        <v>16</v>
      </c>
      <c r="P1" s="31" t="s">
        <v>63</v>
      </c>
      <c r="Q1" s="32" t="s">
        <v>64</v>
      </c>
      <c r="R1" s="33" t="s">
        <v>65</v>
      </c>
      <c r="S1" s="32" t="s">
        <v>66</v>
      </c>
      <c r="T1" s="33" t="s">
        <v>67</v>
      </c>
      <c r="U1" s="32" t="s">
        <v>68</v>
      </c>
    </row>
    <row r="2" spans="1:21" ht="16.2" customHeight="1" thickBot="1" x14ac:dyDescent="0.35">
      <c r="A2" s="4">
        <f t="shared" ref="A2:A21" si="0">ROW() - ROW($A$1)</f>
        <v>1</v>
      </c>
      <c r="B2" s="23" t="s">
        <v>7</v>
      </c>
      <c r="C2" s="22">
        <v>0.38541666666666669</v>
      </c>
      <c r="D2" s="19">
        <v>0.3923611111111111</v>
      </c>
      <c r="E2" s="19">
        <v>1.388888888888889E-2</v>
      </c>
      <c r="F2" s="5">
        <f t="shared" ref="F2:F21" si="1">D2-C2</f>
        <v>6.9444444444444198E-3</v>
      </c>
      <c r="G2" s="5" t="s">
        <v>18</v>
      </c>
      <c r="I2" s="38">
        <v>1</v>
      </c>
      <c r="J2" s="39" t="s">
        <v>7</v>
      </c>
      <c r="K2" s="40" t="s">
        <v>69</v>
      </c>
      <c r="L2" s="39" t="s">
        <v>70</v>
      </c>
      <c r="M2" s="61" t="s">
        <v>18</v>
      </c>
      <c r="N2" s="41">
        <v>1.388888888888889E-2</v>
      </c>
      <c r="P2" s="28">
        <v>0</v>
      </c>
      <c r="Q2" s="29">
        <v>0</v>
      </c>
      <c r="R2" s="30">
        <v>0</v>
      </c>
      <c r="S2" s="29" t="s">
        <v>71</v>
      </c>
      <c r="T2" s="30" t="s">
        <v>71</v>
      </c>
      <c r="U2" s="29">
        <v>0</v>
      </c>
    </row>
    <row r="3" spans="1:21" x14ac:dyDescent="0.3">
      <c r="A3" s="4">
        <f t="shared" si="0"/>
        <v>2</v>
      </c>
      <c r="B3" s="7" t="s">
        <v>8</v>
      </c>
      <c r="C3" s="8">
        <v>0.3923611111111111</v>
      </c>
      <c r="D3" s="5">
        <v>0.39930555555555558</v>
      </c>
      <c r="E3" s="5">
        <v>1.7361111111111108E-2</v>
      </c>
      <c r="F3" s="5">
        <f t="shared" si="1"/>
        <v>6.9444444444444753E-3</v>
      </c>
      <c r="G3" s="6" t="s">
        <v>18</v>
      </c>
      <c r="I3" s="42">
        <v>2</v>
      </c>
      <c r="J3" s="42" t="s">
        <v>8</v>
      </c>
      <c r="K3" s="43" t="s">
        <v>72</v>
      </c>
      <c r="L3" s="42" t="s">
        <v>73</v>
      </c>
      <c r="M3" s="62" t="s">
        <v>18</v>
      </c>
      <c r="N3" s="44">
        <v>1.388888888888889E-2</v>
      </c>
    </row>
    <row r="4" spans="1:21" x14ac:dyDescent="0.3">
      <c r="A4" s="4">
        <f t="shared" si="0"/>
        <v>3</v>
      </c>
      <c r="B4" s="24" t="s">
        <v>9</v>
      </c>
      <c r="C4" s="8">
        <v>0.39930555555555558</v>
      </c>
      <c r="D4" s="5">
        <v>0.40347222222222218</v>
      </c>
      <c r="E4" s="5">
        <v>6.9444444444444441E-3</v>
      </c>
      <c r="F4" s="5">
        <f t="shared" si="1"/>
        <v>4.1666666666665964E-3</v>
      </c>
      <c r="G4" s="6" t="s">
        <v>18</v>
      </c>
      <c r="I4" s="42">
        <v>3</v>
      </c>
      <c r="J4" s="42" t="s">
        <v>9</v>
      </c>
      <c r="K4" s="43" t="s">
        <v>74</v>
      </c>
      <c r="L4" s="42" t="s">
        <v>75</v>
      </c>
      <c r="M4" s="62" t="s">
        <v>18</v>
      </c>
      <c r="N4" s="44">
        <v>1.041666666666667E-2</v>
      </c>
    </row>
    <row r="5" spans="1:21" x14ac:dyDescent="0.3">
      <c r="A5" s="4">
        <f t="shared" si="0"/>
        <v>4</v>
      </c>
      <c r="B5" s="7" t="s">
        <v>10</v>
      </c>
      <c r="C5" s="8"/>
      <c r="D5" s="5"/>
      <c r="E5" s="5">
        <v>4.1666666666666657E-2</v>
      </c>
      <c r="F5" s="5">
        <f t="shared" si="1"/>
        <v>0</v>
      </c>
      <c r="G5" s="6"/>
      <c r="I5" s="39">
        <v>4</v>
      </c>
      <c r="J5" s="42" t="s">
        <v>76</v>
      </c>
      <c r="K5" s="43" t="s">
        <v>77</v>
      </c>
      <c r="L5" s="42" t="s">
        <v>78</v>
      </c>
      <c r="M5" s="62" t="s">
        <v>18</v>
      </c>
      <c r="N5" s="44">
        <v>4.1666666666666657E-2</v>
      </c>
    </row>
    <row r="6" spans="1:21" x14ac:dyDescent="0.3">
      <c r="A6" s="4">
        <f t="shared" si="0"/>
        <v>5</v>
      </c>
      <c r="B6" s="7" t="s">
        <v>79</v>
      </c>
      <c r="C6" s="8"/>
      <c r="D6" s="5"/>
      <c r="E6" s="5"/>
      <c r="F6" s="5">
        <f t="shared" si="1"/>
        <v>0</v>
      </c>
      <c r="G6" s="6"/>
      <c r="I6" s="42">
        <v>5</v>
      </c>
      <c r="J6" s="42" t="s">
        <v>80</v>
      </c>
      <c r="K6" s="43" t="s">
        <v>81</v>
      </c>
      <c r="L6" s="42" t="s">
        <v>82</v>
      </c>
      <c r="M6" s="62" t="s">
        <v>18</v>
      </c>
      <c r="N6" s="44">
        <v>2.0833333333333329E-2</v>
      </c>
    </row>
    <row r="7" spans="1:21" x14ac:dyDescent="0.3">
      <c r="A7" s="4">
        <f t="shared" si="0"/>
        <v>6</v>
      </c>
      <c r="B7" s="7"/>
      <c r="C7" s="8"/>
      <c r="D7" s="5"/>
      <c r="E7" s="5"/>
      <c r="F7" s="5">
        <f t="shared" si="1"/>
        <v>0</v>
      </c>
      <c r="G7" s="6"/>
      <c r="I7" s="42">
        <v>6</v>
      </c>
      <c r="J7" s="42" t="s">
        <v>83</v>
      </c>
      <c r="K7" s="43" t="s">
        <v>84</v>
      </c>
      <c r="L7" s="42" t="s">
        <v>85</v>
      </c>
      <c r="M7" s="62" t="s">
        <v>18</v>
      </c>
      <c r="N7" s="44">
        <v>6.25E-2</v>
      </c>
    </row>
    <row r="8" spans="1:21" x14ac:dyDescent="0.3">
      <c r="A8" s="4">
        <f t="shared" si="0"/>
        <v>7</v>
      </c>
      <c r="B8" s="7"/>
      <c r="C8" s="8"/>
      <c r="D8" s="5"/>
      <c r="E8" s="5"/>
      <c r="F8" s="8">
        <f t="shared" si="1"/>
        <v>0</v>
      </c>
      <c r="G8" s="6"/>
      <c r="I8" s="39">
        <v>7</v>
      </c>
      <c r="J8" s="42" t="s">
        <v>86</v>
      </c>
      <c r="K8" s="43" t="s">
        <v>87</v>
      </c>
      <c r="L8" s="42" t="s">
        <v>87</v>
      </c>
      <c r="M8" s="62" t="s">
        <v>18</v>
      </c>
      <c r="N8" s="44">
        <v>5.2083333333333343E-2</v>
      </c>
    </row>
    <row r="9" spans="1:21" x14ac:dyDescent="0.3">
      <c r="A9" s="4">
        <f t="shared" si="0"/>
        <v>8</v>
      </c>
      <c r="B9" s="7" t="s">
        <v>88</v>
      </c>
      <c r="C9" s="8"/>
      <c r="D9" s="5"/>
      <c r="E9" s="5"/>
      <c r="F9" s="5">
        <f t="shared" si="1"/>
        <v>0</v>
      </c>
      <c r="G9" s="6"/>
      <c r="I9" s="42">
        <v>8</v>
      </c>
      <c r="J9" s="42" t="s">
        <v>89</v>
      </c>
      <c r="K9" s="43" t="s">
        <v>90</v>
      </c>
      <c r="L9" s="42" t="s">
        <v>91</v>
      </c>
      <c r="M9" s="62" t="s">
        <v>18</v>
      </c>
      <c r="N9" s="44">
        <v>1.7361111111111108E-2</v>
      </c>
    </row>
    <row r="10" spans="1:21" x14ac:dyDescent="0.3">
      <c r="A10" s="4">
        <f t="shared" si="0"/>
        <v>9</v>
      </c>
      <c r="B10" s="7" t="s">
        <v>92</v>
      </c>
      <c r="C10" s="8"/>
      <c r="D10" s="5"/>
      <c r="E10" s="5"/>
      <c r="F10" s="5">
        <f t="shared" si="1"/>
        <v>0</v>
      </c>
      <c r="G10" s="6"/>
      <c r="I10" s="42">
        <v>9</v>
      </c>
      <c r="J10" s="42" t="s">
        <v>93</v>
      </c>
      <c r="K10" s="43" t="s">
        <v>94</v>
      </c>
      <c r="L10" s="42" t="s">
        <v>95</v>
      </c>
      <c r="M10" s="62" t="s">
        <v>18</v>
      </c>
      <c r="N10" s="44">
        <v>1.388888888888889E-2</v>
      </c>
    </row>
    <row r="11" spans="1:21" x14ac:dyDescent="0.3">
      <c r="A11" s="4">
        <f t="shared" si="0"/>
        <v>10</v>
      </c>
      <c r="B11" s="7"/>
      <c r="C11" s="8"/>
      <c r="D11" s="9"/>
      <c r="E11" s="9"/>
      <c r="F11" s="5">
        <f t="shared" si="1"/>
        <v>0</v>
      </c>
      <c r="G11" s="6"/>
      <c r="I11" s="39">
        <v>10</v>
      </c>
      <c r="J11" s="42" t="s">
        <v>96</v>
      </c>
      <c r="K11" s="43" t="s">
        <v>97</v>
      </c>
      <c r="L11" s="42" t="s">
        <v>98</v>
      </c>
      <c r="M11" s="62" t="s">
        <v>18</v>
      </c>
      <c r="N11" s="44">
        <v>2.0833333333333329E-2</v>
      </c>
    </row>
    <row r="12" spans="1:21" x14ac:dyDescent="0.3">
      <c r="A12" s="4">
        <f t="shared" si="0"/>
        <v>11</v>
      </c>
      <c r="B12" s="7" t="s">
        <v>99</v>
      </c>
      <c r="C12" s="8">
        <v>0.61458333333333337</v>
      </c>
      <c r="D12" s="9">
        <v>0.66666666666666663</v>
      </c>
      <c r="E12" s="9"/>
      <c r="F12" s="5">
        <f t="shared" si="1"/>
        <v>5.2083333333333259E-2</v>
      </c>
      <c r="G12" s="6"/>
      <c r="I12" s="42">
        <v>11</v>
      </c>
      <c r="J12" s="42" t="s">
        <v>12</v>
      </c>
      <c r="K12" s="43" t="s">
        <v>100</v>
      </c>
      <c r="L12" s="42" t="s">
        <v>101</v>
      </c>
      <c r="M12" s="62" t="s">
        <v>18</v>
      </c>
      <c r="N12" s="44">
        <v>6.25E-2</v>
      </c>
    </row>
    <row r="13" spans="1:21" x14ac:dyDescent="0.3">
      <c r="A13" s="4">
        <f t="shared" si="0"/>
        <v>12</v>
      </c>
      <c r="B13" s="7" t="s">
        <v>102</v>
      </c>
      <c r="C13" s="8"/>
      <c r="D13" s="9"/>
      <c r="E13" s="9"/>
      <c r="F13" s="5">
        <f t="shared" si="1"/>
        <v>0</v>
      </c>
      <c r="G13" s="6"/>
      <c r="I13" s="42">
        <v>12</v>
      </c>
      <c r="J13" s="42" t="s">
        <v>13</v>
      </c>
      <c r="K13" s="43" t="s">
        <v>103</v>
      </c>
      <c r="L13" s="42" t="s">
        <v>104</v>
      </c>
      <c r="M13" s="62" t="s">
        <v>18</v>
      </c>
      <c r="N13" s="44">
        <v>1.7361111111111108E-2</v>
      </c>
    </row>
    <row r="14" spans="1:21" ht="15" customHeight="1" x14ac:dyDescent="0.3">
      <c r="A14" s="4">
        <f t="shared" si="0"/>
        <v>13</v>
      </c>
      <c r="B14" s="7" t="s">
        <v>105</v>
      </c>
      <c r="C14" s="8"/>
      <c r="D14" s="9"/>
      <c r="E14" s="9"/>
      <c r="F14" s="5">
        <f t="shared" si="1"/>
        <v>0</v>
      </c>
      <c r="G14" s="6"/>
      <c r="I14" s="42">
        <v>13</v>
      </c>
      <c r="J14" s="42" t="s">
        <v>14</v>
      </c>
      <c r="K14" s="43" t="s">
        <v>106</v>
      </c>
      <c r="L14" s="42" t="s">
        <v>107</v>
      </c>
      <c r="M14" s="62" t="s">
        <v>18</v>
      </c>
      <c r="N14" s="44">
        <v>6.9444444444444441E-3</v>
      </c>
    </row>
    <row r="15" spans="1:21" ht="15" customHeight="1" thickBot="1" x14ac:dyDescent="0.35">
      <c r="A15" s="4">
        <f t="shared" si="0"/>
        <v>14</v>
      </c>
      <c r="B15" s="7" t="s">
        <v>108</v>
      </c>
      <c r="C15" s="8"/>
      <c r="D15" s="9"/>
      <c r="E15" s="9"/>
      <c r="F15" s="5">
        <f t="shared" si="1"/>
        <v>0</v>
      </c>
      <c r="G15" s="6"/>
      <c r="I15" s="45">
        <v>14</v>
      </c>
      <c r="J15" s="45" t="s">
        <v>109</v>
      </c>
      <c r="K15" s="46" t="s">
        <v>110</v>
      </c>
      <c r="L15" s="45" t="s">
        <v>111</v>
      </c>
      <c r="M15" s="63" t="s">
        <v>18</v>
      </c>
      <c r="N15" s="47">
        <v>2.0833333333333329E-2</v>
      </c>
    </row>
    <row r="16" spans="1:21" x14ac:dyDescent="0.3">
      <c r="A16" s="4">
        <f t="shared" si="0"/>
        <v>15</v>
      </c>
      <c r="B16" s="7"/>
      <c r="C16" s="8"/>
      <c r="D16" s="9"/>
      <c r="E16" s="9"/>
      <c r="F16" s="5">
        <f t="shared" si="1"/>
        <v>0</v>
      </c>
      <c r="G16" s="6"/>
      <c r="N16" s="60"/>
    </row>
    <row r="17" spans="1:7" x14ac:dyDescent="0.3">
      <c r="A17" s="4">
        <f t="shared" si="0"/>
        <v>16</v>
      </c>
      <c r="B17" s="7"/>
      <c r="C17" s="8"/>
      <c r="D17" s="9"/>
      <c r="E17" s="9"/>
      <c r="F17" s="5">
        <f t="shared" si="1"/>
        <v>0</v>
      </c>
      <c r="G17" s="6"/>
    </row>
    <row r="18" spans="1:7" x14ac:dyDescent="0.3">
      <c r="A18" s="4">
        <f t="shared" si="0"/>
        <v>17</v>
      </c>
      <c r="B18" s="7" t="s">
        <v>11</v>
      </c>
      <c r="C18" s="8"/>
      <c r="D18" s="9"/>
      <c r="E18" s="9"/>
      <c r="F18" s="5">
        <f t="shared" si="1"/>
        <v>0</v>
      </c>
      <c r="G18" s="6"/>
    </row>
    <row r="19" spans="1:7" x14ac:dyDescent="0.3">
      <c r="A19" s="4">
        <f t="shared" si="0"/>
        <v>18</v>
      </c>
      <c r="B19" s="7" t="s">
        <v>12</v>
      </c>
      <c r="C19" s="8"/>
      <c r="D19" s="9"/>
      <c r="E19" s="9"/>
      <c r="F19" s="5">
        <f t="shared" si="1"/>
        <v>0</v>
      </c>
      <c r="G19" s="6"/>
    </row>
    <row r="20" spans="1:7" x14ac:dyDescent="0.3">
      <c r="A20" s="4">
        <f t="shared" si="0"/>
        <v>19</v>
      </c>
      <c r="B20" s="7" t="s">
        <v>13</v>
      </c>
      <c r="C20" s="8"/>
      <c r="D20" s="9"/>
      <c r="E20" s="9"/>
      <c r="F20" s="5">
        <f t="shared" si="1"/>
        <v>0</v>
      </c>
      <c r="G20" s="6"/>
    </row>
    <row r="21" spans="1:7" ht="15" customHeight="1" thickBot="1" x14ac:dyDescent="0.35">
      <c r="A21" s="4">
        <f t="shared" si="0"/>
        <v>20</v>
      </c>
      <c r="B21" s="7" t="s">
        <v>14</v>
      </c>
      <c r="C21" s="10"/>
      <c r="D21" s="11"/>
      <c r="E21" s="9"/>
      <c r="F21" s="5">
        <f t="shared" si="1"/>
        <v>0</v>
      </c>
      <c r="G21" s="6"/>
    </row>
    <row r="22" spans="1:7" ht="15" customHeight="1" thickBot="1" x14ac:dyDescent="0.35">
      <c r="A22" s="12"/>
      <c r="B22" s="13" t="s">
        <v>15</v>
      </c>
      <c r="C22" s="14"/>
      <c r="D22" s="14"/>
      <c r="E22" s="26"/>
      <c r="F22" s="15">
        <f>SUM(F2:F21)</f>
        <v>7.0138888888888751E-2</v>
      </c>
      <c r="G22" s="16"/>
    </row>
  </sheetData>
  <conditionalFormatting sqref="G3:G21">
    <cfRule type="expression" dxfId="19" priority="1">
      <formula>SEARCH("In-Progress", G3)</formula>
    </cfRule>
    <cfRule type="expression" dxfId="18" priority="2">
      <formula>SEARCH("Incomplete", G3)</formula>
    </cfRule>
    <cfRule type="expression" dxfId="17" priority="3">
      <formula>SEARCH("Completed", G3)</formula>
    </cfRule>
  </conditionalFormatting>
  <dataValidations count="1">
    <dataValidation type="list" allowBlank="1" showInputMessage="1" showErrorMessage="1" sqref="G2:G21" xr:uid="{00000000-0002-0000-0800-000000000000}">
      <formula1>"Completed, Incomplete, In-Progress"</formula1>
    </dataValidation>
  </dataValidation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R40"/>
  <sheetViews>
    <sheetView workbookViewId="0">
      <selection activeCell="F1" sqref="F1"/>
    </sheetView>
  </sheetViews>
  <sheetFormatPr defaultRowHeight="14.4" x14ac:dyDescent="0.3"/>
  <cols>
    <col min="2" max="4" width="47.21875" customWidth="1"/>
    <col min="5" max="5" width="12.33203125" customWidth="1"/>
    <col min="6" max="9" width="10.5546875" customWidth="1"/>
    <col min="10" max="10" width="10.88671875" bestFit="1" customWidth="1"/>
    <col min="13" max="18" width="18" customWidth="1"/>
  </cols>
  <sheetData>
    <row r="1" spans="1:18" ht="15" customHeight="1" thickBot="1" x14ac:dyDescent="0.35">
      <c r="A1" s="1" t="s">
        <v>0</v>
      </c>
      <c r="B1" s="35" t="s">
        <v>59</v>
      </c>
      <c r="C1" s="36" t="s">
        <v>60</v>
      </c>
      <c r="D1" s="37" t="s">
        <v>61</v>
      </c>
      <c r="E1" s="53" t="s">
        <v>6</v>
      </c>
      <c r="F1" s="35" t="s">
        <v>16</v>
      </c>
      <c r="G1" s="21" t="s">
        <v>2</v>
      </c>
      <c r="H1" s="56" t="s">
        <v>3</v>
      </c>
      <c r="I1" s="27" t="s">
        <v>4</v>
      </c>
      <c r="J1" s="3" t="s">
        <v>5</v>
      </c>
      <c r="M1" s="31" t="s">
        <v>63</v>
      </c>
      <c r="N1" s="32" t="s">
        <v>64</v>
      </c>
      <c r="O1" s="33" t="s">
        <v>65</v>
      </c>
      <c r="P1" s="32" t="s">
        <v>66</v>
      </c>
      <c r="Q1" s="33" t="s">
        <v>67</v>
      </c>
      <c r="R1" s="32" t="s">
        <v>68</v>
      </c>
    </row>
    <row r="2" spans="1:18" ht="16.2" customHeight="1" thickBot="1" x14ac:dyDescent="0.35">
      <c r="A2" s="4">
        <f t="shared" ref="A2:A21" si="0">ROW() - ROW($A$1)</f>
        <v>1</v>
      </c>
      <c r="B2" s="39" t="s">
        <v>7</v>
      </c>
      <c r="C2" s="40" t="s">
        <v>69</v>
      </c>
      <c r="D2" s="48" t="s">
        <v>70</v>
      </c>
      <c r="E2" s="38" t="s">
        <v>18</v>
      </c>
      <c r="F2" s="50">
        <v>1.7361111111111108E-2</v>
      </c>
      <c r="G2" s="22"/>
      <c r="H2" s="58"/>
      <c r="I2" s="50">
        <v>1.7361111111111108E-2</v>
      </c>
      <c r="J2" s="5">
        <f t="shared" ref="J2:J21" si="1">H2-G2</f>
        <v>0</v>
      </c>
      <c r="M2" s="28">
        <v>1</v>
      </c>
      <c r="N2" s="29">
        <v>1</v>
      </c>
      <c r="O2" s="30">
        <v>1</v>
      </c>
      <c r="P2" s="29" t="s">
        <v>112</v>
      </c>
      <c r="Q2" s="30" t="s">
        <v>113</v>
      </c>
      <c r="R2" s="29">
        <v>0</v>
      </c>
    </row>
    <row r="3" spans="1:18" x14ac:dyDescent="0.3">
      <c r="A3" s="4">
        <f t="shared" si="0"/>
        <v>2</v>
      </c>
      <c r="B3" s="42" t="s">
        <v>8</v>
      </c>
      <c r="C3" s="43" t="s">
        <v>72</v>
      </c>
      <c r="D3" s="49" t="s">
        <v>73</v>
      </c>
      <c r="E3" s="42" t="s">
        <v>18</v>
      </c>
      <c r="F3" s="51">
        <v>1.388888888888889E-2</v>
      </c>
      <c r="G3" s="8"/>
      <c r="H3" s="5"/>
      <c r="I3" s="51">
        <v>1.388888888888889E-2</v>
      </c>
      <c r="J3" s="5">
        <f t="shared" si="1"/>
        <v>0</v>
      </c>
    </row>
    <row r="4" spans="1:18" x14ac:dyDescent="0.3">
      <c r="A4" s="4">
        <f t="shared" si="0"/>
        <v>3</v>
      </c>
      <c r="B4" s="42" t="s">
        <v>9</v>
      </c>
      <c r="C4" s="43" t="s">
        <v>74</v>
      </c>
      <c r="D4" s="49" t="s">
        <v>75</v>
      </c>
      <c r="E4" s="42" t="s">
        <v>18</v>
      </c>
      <c r="F4" s="51">
        <v>1.041666666666667E-2</v>
      </c>
      <c r="G4" s="8"/>
      <c r="H4" s="5"/>
      <c r="I4" s="51">
        <v>1.041666666666667E-2</v>
      </c>
      <c r="J4" s="5">
        <f t="shared" si="1"/>
        <v>0</v>
      </c>
    </row>
    <row r="5" spans="1:18" x14ac:dyDescent="0.3">
      <c r="A5" s="4">
        <f t="shared" si="0"/>
        <v>4</v>
      </c>
      <c r="B5" s="42" t="s">
        <v>114</v>
      </c>
      <c r="C5" s="43" t="s">
        <v>115</v>
      </c>
      <c r="D5" s="49" t="s">
        <v>116</v>
      </c>
      <c r="E5" s="42" t="s">
        <v>18</v>
      </c>
      <c r="F5" s="57">
        <v>6.25E-2</v>
      </c>
      <c r="G5" s="8">
        <v>0.40625</v>
      </c>
      <c r="H5" s="5"/>
      <c r="I5" s="5"/>
      <c r="J5" s="5">
        <f t="shared" si="1"/>
        <v>-0.40625</v>
      </c>
    </row>
    <row r="6" spans="1:18" x14ac:dyDescent="0.3">
      <c r="A6" s="4">
        <f t="shared" si="0"/>
        <v>5</v>
      </c>
      <c r="B6" s="42" t="s">
        <v>117</v>
      </c>
      <c r="C6" s="43" t="s">
        <v>90</v>
      </c>
      <c r="D6" s="49" t="s">
        <v>118</v>
      </c>
      <c r="E6" s="42" t="s">
        <v>18</v>
      </c>
      <c r="F6" s="57">
        <v>1.388888888888889E-2</v>
      </c>
      <c r="G6" s="8">
        <v>0.44791666666666669</v>
      </c>
      <c r="H6" s="5"/>
      <c r="I6" s="5"/>
      <c r="J6" s="5">
        <f t="shared" si="1"/>
        <v>-0.44791666666666669</v>
      </c>
    </row>
    <row r="7" spans="1:18" x14ac:dyDescent="0.3">
      <c r="A7" s="4">
        <f t="shared" si="0"/>
        <v>6</v>
      </c>
      <c r="B7" s="42" t="s">
        <v>119</v>
      </c>
      <c r="C7" s="43" t="s">
        <v>120</v>
      </c>
      <c r="D7" s="49" t="s">
        <v>121</v>
      </c>
      <c r="E7" s="42" t="s">
        <v>18</v>
      </c>
      <c r="F7" s="57">
        <v>6.9444444444444441E-3</v>
      </c>
      <c r="G7" s="8">
        <v>0.51041666666666663</v>
      </c>
      <c r="H7" s="5">
        <v>0.53402777777777777</v>
      </c>
      <c r="I7" s="5"/>
      <c r="J7" s="5">
        <f t="shared" si="1"/>
        <v>2.3611111111111138E-2</v>
      </c>
    </row>
    <row r="8" spans="1:18" x14ac:dyDescent="0.3">
      <c r="A8" s="4">
        <f t="shared" si="0"/>
        <v>7</v>
      </c>
      <c r="B8" s="42" t="s">
        <v>122</v>
      </c>
      <c r="C8" s="43" t="s">
        <v>123</v>
      </c>
      <c r="D8" s="49" t="s">
        <v>124</v>
      </c>
      <c r="E8" s="42" t="s">
        <v>18</v>
      </c>
      <c r="F8" s="57">
        <v>1.7361111111111108E-2</v>
      </c>
      <c r="G8" s="8"/>
      <c r="H8" s="5"/>
      <c r="I8" s="5"/>
      <c r="J8" s="8">
        <f t="shared" si="1"/>
        <v>0</v>
      </c>
    </row>
    <row r="9" spans="1:18" x14ac:dyDescent="0.3">
      <c r="A9" s="4">
        <f t="shared" si="0"/>
        <v>8</v>
      </c>
      <c r="B9" s="42" t="s">
        <v>125</v>
      </c>
      <c r="C9" s="43" t="s">
        <v>126</v>
      </c>
      <c r="D9" s="49" t="s">
        <v>127</v>
      </c>
      <c r="E9" s="42" t="s">
        <v>18</v>
      </c>
      <c r="F9" s="57">
        <v>2.0833333333333329E-2</v>
      </c>
      <c r="G9" s="8"/>
      <c r="H9" s="5"/>
      <c r="I9" s="5"/>
      <c r="J9" s="5">
        <f t="shared" si="1"/>
        <v>0</v>
      </c>
    </row>
    <row r="10" spans="1:18" x14ac:dyDescent="0.3">
      <c r="A10" s="4">
        <f t="shared" si="0"/>
        <v>9</v>
      </c>
      <c r="B10" s="42" t="s">
        <v>128</v>
      </c>
      <c r="C10" s="43" t="s">
        <v>129</v>
      </c>
      <c r="D10" s="49" t="s">
        <v>130</v>
      </c>
      <c r="E10" s="42" t="s">
        <v>18</v>
      </c>
      <c r="F10" s="57">
        <v>3.125E-2</v>
      </c>
      <c r="G10" s="8"/>
      <c r="H10" s="5"/>
      <c r="I10" s="5"/>
      <c r="J10" s="5">
        <f t="shared" si="1"/>
        <v>0</v>
      </c>
    </row>
    <row r="11" spans="1:18" x14ac:dyDescent="0.3">
      <c r="A11" s="4">
        <f t="shared" si="0"/>
        <v>10</v>
      </c>
      <c r="B11" s="42" t="s">
        <v>86</v>
      </c>
      <c r="C11" s="43" t="s">
        <v>87</v>
      </c>
      <c r="D11" s="49" t="s">
        <v>87</v>
      </c>
      <c r="E11" s="42" t="s">
        <v>18</v>
      </c>
      <c r="F11" s="57">
        <v>4.1666666666666657E-2</v>
      </c>
      <c r="G11" s="8"/>
      <c r="H11" s="5"/>
      <c r="I11" s="9">
        <v>4.1666666666666657E-2</v>
      </c>
      <c r="J11" s="5">
        <f t="shared" si="1"/>
        <v>0</v>
      </c>
    </row>
    <row r="12" spans="1:18" x14ac:dyDescent="0.3">
      <c r="A12" s="4">
        <f t="shared" si="0"/>
        <v>11</v>
      </c>
      <c r="B12" s="42" t="s">
        <v>12</v>
      </c>
      <c r="C12" s="43" t="s">
        <v>131</v>
      </c>
      <c r="D12" s="49" t="s">
        <v>101</v>
      </c>
      <c r="E12" s="42" t="s">
        <v>18</v>
      </c>
      <c r="F12" s="57">
        <v>6.25E-2</v>
      </c>
      <c r="G12" s="8"/>
      <c r="H12" s="5"/>
      <c r="I12" s="51">
        <v>6.25E-2</v>
      </c>
      <c r="J12" s="5">
        <f t="shared" si="1"/>
        <v>0</v>
      </c>
    </row>
    <row r="13" spans="1:18" x14ac:dyDescent="0.3">
      <c r="A13" s="4">
        <f t="shared" si="0"/>
        <v>12</v>
      </c>
      <c r="B13" s="42" t="s">
        <v>13</v>
      </c>
      <c r="C13" s="43" t="s">
        <v>103</v>
      </c>
      <c r="D13" s="49" t="s">
        <v>104</v>
      </c>
      <c r="E13" s="42" t="s">
        <v>18</v>
      </c>
      <c r="F13" s="57">
        <v>1.7361111111111108E-2</v>
      </c>
      <c r="G13" s="8"/>
      <c r="H13" s="5"/>
      <c r="I13" s="51">
        <v>1.7361111111111108E-2</v>
      </c>
      <c r="J13" s="5">
        <f t="shared" si="1"/>
        <v>0</v>
      </c>
    </row>
    <row r="14" spans="1:18" x14ac:dyDescent="0.3">
      <c r="A14" s="4">
        <f t="shared" si="0"/>
        <v>13</v>
      </c>
      <c r="B14" s="42" t="s">
        <v>14</v>
      </c>
      <c r="C14" s="43" t="s">
        <v>106</v>
      </c>
      <c r="D14" s="49" t="s">
        <v>107</v>
      </c>
      <c r="E14" s="42" t="s">
        <v>18</v>
      </c>
      <c r="F14" s="57">
        <v>6.9444444444444441E-3</v>
      </c>
      <c r="G14" s="8"/>
      <c r="H14" s="5"/>
      <c r="I14" s="51">
        <v>6.9444444444444441E-3</v>
      </c>
      <c r="J14" s="5">
        <f t="shared" si="1"/>
        <v>0</v>
      </c>
    </row>
    <row r="15" spans="1:18" x14ac:dyDescent="0.3">
      <c r="A15" s="4">
        <f t="shared" si="0"/>
        <v>14</v>
      </c>
      <c r="B15" s="42" t="s">
        <v>109</v>
      </c>
      <c r="C15" s="43" t="s">
        <v>110</v>
      </c>
      <c r="D15" s="49" t="s">
        <v>111</v>
      </c>
      <c r="E15" s="42" t="s">
        <v>18</v>
      </c>
      <c r="F15" s="57">
        <v>2.0833333333333329E-2</v>
      </c>
      <c r="G15" s="8"/>
      <c r="H15" s="5"/>
      <c r="I15" s="51">
        <v>2.0833333333333329E-2</v>
      </c>
      <c r="J15" s="5">
        <f t="shared" si="1"/>
        <v>0</v>
      </c>
    </row>
    <row r="16" spans="1:18" x14ac:dyDescent="0.3">
      <c r="A16" s="4">
        <f t="shared" si="0"/>
        <v>15</v>
      </c>
      <c r="B16" s="4"/>
      <c r="C16" s="4"/>
      <c r="D16" s="4"/>
      <c r="E16" s="55"/>
      <c r="F16" s="52"/>
      <c r="G16" s="8"/>
      <c r="H16" s="5"/>
      <c r="I16" s="9"/>
      <c r="J16" s="5">
        <f t="shared" si="1"/>
        <v>0</v>
      </c>
    </row>
    <row r="17" spans="1:10" x14ac:dyDescent="0.3">
      <c r="A17" s="4">
        <f t="shared" si="0"/>
        <v>16</v>
      </c>
      <c r="B17" s="4"/>
      <c r="C17" s="4"/>
      <c r="D17" s="4"/>
      <c r="E17" s="55"/>
      <c r="F17" s="52"/>
      <c r="G17" s="8"/>
      <c r="H17" s="5"/>
      <c r="I17" s="9"/>
      <c r="J17" s="5">
        <f t="shared" si="1"/>
        <v>0</v>
      </c>
    </row>
    <row r="18" spans="1:10" x14ac:dyDescent="0.3">
      <c r="A18" s="4">
        <f t="shared" si="0"/>
        <v>17</v>
      </c>
      <c r="B18" s="42"/>
      <c r="C18" s="43"/>
      <c r="D18" s="49"/>
      <c r="E18" s="55"/>
      <c r="F18" s="57"/>
      <c r="G18" s="8"/>
      <c r="H18" s="5"/>
      <c r="I18" s="51"/>
      <c r="J18" s="5">
        <f t="shared" si="1"/>
        <v>0</v>
      </c>
    </row>
    <row r="19" spans="1:10" x14ac:dyDescent="0.3">
      <c r="A19" s="4">
        <f t="shared" si="0"/>
        <v>18</v>
      </c>
      <c r="B19" s="42"/>
      <c r="C19" s="43"/>
      <c r="D19" s="49"/>
      <c r="E19" s="55"/>
      <c r="F19" s="57"/>
      <c r="G19" s="8"/>
      <c r="H19" s="5"/>
      <c r="I19" s="51"/>
      <c r="J19" s="5">
        <f t="shared" si="1"/>
        <v>0</v>
      </c>
    </row>
    <row r="20" spans="1:10" x14ac:dyDescent="0.3">
      <c r="A20" s="4">
        <f t="shared" si="0"/>
        <v>19</v>
      </c>
      <c r="B20" s="42"/>
      <c r="C20" s="43"/>
      <c r="D20" s="49"/>
      <c r="E20" s="55"/>
      <c r="F20" s="57"/>
      <c r="G20" s="8"/>
      <c r="H20" s="5"/>
      <c r="I20" s="51"/>
      <c r="J20" s="5">
        <f t="shared" si="1"/>
        <v>0</v>
      </c>
    </row>
    <row r="21" spans="1:10" ht="15" customHeight="1" thickBot="1" x14ac:dyDescent="0.35">
      <c r="A21" s="4">
        <f t="shared" si="0"/>
        <v>20</v>
      </c>
      <c r="B21" s="45"/>
      <c r="C21" s="46"/>
      <c r="D21" s="65"/>
      <c r="E21" s="10"/>
      <c r="F21" s="57"/>
      <c r="G21" s="10"/>
      <c r="H21" s="11"/>
      <c r="I21" s="51"/>
      <c r="J21" s="5">
        <f t="shared" si="1"/>
        <v>0</v>
      </c>
    </row>
    <row r="22" spans="1:10" ht="15" customHeight="1" thickBot="1" x14ac:dyDescent="0.35">
      <c r="A22" s="12"/>
      <c r="B22" s="12"/>
      <c r="C22" s="12"/>
      <c r="D22" s="12"/>
      <c r="E22" s="54"/>
      <c r="F22" s="64">
        <f>SUM(F2:F21)</f>
        <v>0.34374999999999989</v>
      </c>
      <c r="G22" s="59"/>
      <c r="H22" s="14"/>
      <c r="I22" s="26"/>
      <c r="J22" s="15">
        <f>SUM(J2:J21)</f>
        <v>-0.8305555555555556</v>
      </c>
    </row>
    <row r="25" spans="1:10" ht="15" customHeight="1" thickBot="1" x14ac:dyDescent="0.35"/>
    <row r="26" spans="1:10" ht="15" customHeight="1" thickBot="1" x14ac:dyDescent="0.35">
      <c r="A26" s="1" t="s">
        <v>0</v>
      </c>
      <c r="B26" s="35" t="s">
        <v>59</v>
      </c>
      <c r="C26" s="36" t="s">
        <v>60</v>
      </c>
      <c r="D26" s="37" t="s">
        <v>61</v>
      </c>
      <c r="E26" s="53" t="s">
        <v>6</v>
      </c>
      <c r="F26" s="35" t="s">
        <v>16</v>
      </c>
    </row>
    <row r="27" spans="1:10" x14ac:dyDescent="0.3">
      <c r="A27" s="4">
        <f t="shared" ref="A27:A40" si="2">ROW() - ROW($A$1)</f>
        <v>26</v>
      </c>
      <c r="B27" s="39" t="s">
        <v>7</v>
      </c>
      <c r="C27" s="40" t="s">
        <v>69</v>
      </c>
      <c r="D27" s="48" t="s">
        <v>70</v>
      </c>
      <c r="E27" s="38" t="s">
        <v>18</v>
      </c>
      <c r="F27" s="50">
        <v>1.7361111111111108E-2</v>
      </c>
    </row>
    <row r="28" spans="1:10" x14ac:dyDescent="0.3">
      <c r="A28" s="4">
        <f t="shared" si="2"/>
        <v>27</v>
      </c>
      <c r="B28" s="42" t="s">
        <v>8</v>
      </c>
      <c r="C28" s="43" t="s">
        <v>72</v>
      </c>
      <c r="D28" s="49" t="s">
        <v>73</v>
      </c>
      <c r="E28" s="42" t="s">
        <v>18</v>
      </c>
      <c r="F28" s="51">
        <v>1.388888888888889E-2</v>
      </c>
    </row>
    <row r="29" spans="1:10" x14ac:dyDescent="0.3">
      <c r="A29" s="4">
        <f t="shared" si="2"/>
        <v>28</v>
      </c>
      <c r="B29" s="42" t="s">
        <v>9</v>
      </c>
      <c r="C29" s="43" t="s">
        <v>74</v>
      </c>
      <c r="D29" s="49" t="s">
        <v>75</v>
      </c>
      <c r="E29" s="42" t="s">
        <v>18</v>
      </c>
      <c r="F29" s="51">
        <v>1.041666666666667E-2</v>
      </c>
    </row>
    <row r="30" spans="1:10" x14ac:dyDescent="0.3">
      <c r="A30" s="4">
        <f t="shared" si="2"/>
        <v>29</v>
      </c>
      <c r="B30" s="42" t="s">
        <v>114</v>
      </c>
      <c r="C30" s="43" t="s">
        <v>115</v>
      </c>
      <c r="D30" s="49" t="s">
        <v>116</v>
      </c>
      <c r="E30" s="42" t="s">
        <v>18</v>
      </c>
      <c r="F30" s="51">
        <v>6.25E-2</v>
      </c>
    </row>
    <row r="31" spans="1:10" x14ac:dyDescent="0.3">
      <c r="A31" s="4">
        <f t="shared" si="2"/>
        <v>30</v>
      </c>
      <c r="B31" s="42" t="s">
        <v>117</v>
      </c>
      <c r="C31" s="43" t="s">
        <v>90</v>
      </c>
      <c r="D31" s="49" t="s">
        <v>118</v>
      </c>
      <c r="E31" s="42" t="s">
        <v>18</v>
      </c>
      <c r="F31" s="51">
        <v>1.388888888888889E-2</v>
      </c>
    </row>
    <row r="32" spans="1:10" x14ac:dyDescent="0.3">
      <c r="A32" s="4">
        <f t="shared" si="2"/>
        <v>31</v>
      </c>
      <c r="B32" s="42" t="s">
        <v>119</v>
      </c>
      <c r="C32" s="43" t="s">
        <v>120</v>
      </c>
      <c r="D32" s="49" t="s">
        <v>121</v>
      </c>
      <c r="E32" s="42" t="s">
        <v>18</v>
      </c>
      <c r="F32" s="51">
        <v>6.9444444444444441E-3</v>
      </c>
    </row>
    <row r="33" spans="1:6" x14ac:dyDescent="0.3">
      <c r="A33" s="4">
        <f t="shared" si="2"/>
        <v>32</v>
      </c>
      <c r="B33" s="42" t="s">
        <v>122</v>
      </c>
      <c r="C33" s="43" t="s">
        <v>123</v>
      </c>
      <c r="D33" s="49" t="s">
        <v>124</v>
      </c>
      <c r="E33" s="42" t="s">
        <v>18</v>
      </c>
      <c r="F33" s="51">
        <v>1.7361111111111108E-2</v>
      </c>
    </row>
    <row r="34" spans="1:6" x14ac:dyDescent="0.3">
      <c r="A34" s="4">
        <f t="shared" si="2"/>
        <v>33</v>
      </c>
      <c r="B34" s="42" t="s">
        <v>125</v>
      </c>
      <c r="C34" s="43" t="s">
        <v>126</v>
      </c>
      <c r="D34" s="49" t="s">
        <v>127</v>
      </c>
      <c r="E34" s="42" t="s">
        <v>18</v>
      </c>
      <c r="F34" s="51">
        <v>2.0833333333333329E-2</v>
      </c>
    </row>
    <row r="35" spans="1:6" x14ac:dyDescent="0.3">
      <c r="A35" s="4">
        <f t="shared" si="2"/>
        <v>34</v>
      </c>
      <c r="B35" s="42" t="s">
        <v>128</v>
      </c>
      <c r="C35" s="43" t="s">
        <v>129</v>
      </c>
      <c r="D35" s="49" t="s">
        <v>130</v>
      </c>
      <c r="E35" s="42" t="s">
        <v>18</v>
      </c>
      <c r="F35" s="51">
        <v>3.125E-2</v>
      </c>
    </row>
    <row r="36" spans="1:6" x14ac:dyDescent="0.3">
      <c r="A36" s="4">
        <f t="shared" si="2"/>
        <v>35</v>
      </c>
      <c r="B36" s="42" t="s">
        <v>86</v>
      </c>
      <c r="C36" s="43" t="s">
        <v>87</v>
      </c>
      <c r="D36" s="49" t="s">
        <v>87</v>
      </c>
      <c r="E36" s="42" t="s">
        <v>18</v>
      </c>
      <c r="F36" s="51">
        <v>4.1666666666666657E-2</v>
      </c>
    </row>
    <row r="37" spans="1:6" x14ac:dyDescent="0.3">
      <c r="A37" s="4">
        <f t="shared" si="2"/>
        <v>36</v>
      </c>
      <c r="B37" s="42" t="s">
        <v>12</v>
      </c>
      <c r="C37" s="43" t="s">
        <v>131</v>
      </c>
      <c r="D37" s="49" t="s">
        <v>101</v>
      </c>
      <c r="E37" s="42" t="s">
        <v>18</v>
      </c>
      <c r="F37" s="51">
        <v>6.25E-2</v>
      </c>
    </row>
    <row r="38" spans="1:6" x14ac:dyDescent="0.3">
      <c r="A38" s="4">
        <f t="shared" si="2"/>
        <v>37</v>
      </c>
      <c r="B38" s="42" t="s">
        <v>13</v>
      </c>
      <c r="C38" s="43" t="s">
        <v>103</v>
      </c>
      <c r="D38" s="49" t="s">
        <v>104</v>
      </c>
      <c r="E38" s="42" t="s">
        <v>18</v>
      </c>
      <c r="F38" s="51">
        <v>1.7361111111111108E-2</v>
      </c>
    </row>
    <row r="39" spans="1:6" x14ac:dyDescent="0.3">
      <c r="A39" s="4">
        <f t="shared" si="2"/>
        <v>38</v>
      </c>
      <c r="B39" s="42" t="s">
        <v>14</v>
      </c>
      <c r="C39" s="43" t="s">
        <v>106</v>
      </c>
      <c r="D39" s="49" t="s">
        <v>107</v>
      </c>
      <c r="E39" s="42" t="s">
        <v>18</v>
      </c>
      <c r="F39" s="51">
        <v>6.9444444444444441E-3</v>
      </c>
    </row>
    <row r="40" spans="1:6" ht="15" customHeight="1" thickBot="1" x14ac:dyDescent="0.35">
      <c r="A40" s="66">
        <f t="shared" si="2"/>
        <v>39</v>
      </c>
      <c r="B40" s="45" t="s">
        <v>109</v>
      </c>
      <c r="C40" s="46" t="s">
        <v>110</v>
      </c>
      <c r="D40" s="65" t="s">
        <v>111</v>
      </c>
      <c r="E40" s="45" t="s">
        <v>18</v>
      </c>
      <c r="F40" s="67">
        <v>2.0833333333333329E-2</v>
      </c>
    </row>
  </sheetData>
  <conditionalFormatting sqref="E16:E20">
    <cfRule type="expression" dxfId="16" priority="1">
      <formula>SEARCH("In-Progress", E16)</formula>
    </cfRule>
    <cfRule type="expression" dxfId="15" priority="2">
      <formula>SEARCH("Incomplete", E16)</formula>
    </cfRule>
    <cfRule type="expression" dxfId="14" priority="3">
      <formula>SEARCH("Completed", E16)</formula>
    </cfRule>
  </conditionalFormatting>
  <dataValidations count="1">
    <dataValidation type="list" allowBlank="1" showInputMessage="1" showErrorMessage="1" sqref="E2:E20 E27:E40" xr:uid="{00000000-0002-0000-0900-000000000000}">
      <formula1>"Completed, Incomplete, In-Progress"</formula1>
    </dataValidation>
  </dataValidation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J22"/>
  <sheetViews>
    <sheetView workbookViewId="0">
      <selection activeCell="B9" sqref="A1:J22"/>
    </sheetView>
  </sheetViews>
  <sheetFormatPr defaultRowHeight="14.4" x14ac:dyDescent="0.3"/>
  <cols>
    <col min="2" max="4" width="51.88671875" customWidth="1"/>
    <col min="5" max="5" width="12.44140625" bestFit="1" customWidth="1"/>
    <col min="6" max="6" width="10.88671875" bestFit="1" customWidth="1"/>
    <col min="7" max="7" width="12.33203125" customWidth="1"/>
  </cols>
  <sheetData>
    <row r="1" spans="1:10" ht="15" customHeight="1" thickBot="1" x14ac:dyDescent="0.35">
      <c r="A1" s="1" t="s">
        <v>0</v>
      </c>
      <c r="B1" s="35" t="s">
        <v>59</v>
      </c>
      <c r="C1" s="36" t="s">
        <v>60</v>
      </c>
      <c r="D1" s="37" t="s">
        <v>61</v>
      </c>
      <c r="E1" s="53" t="s">
        <v>6</v>
      </c>
      <c r="F1" s="35" t="s">
        <v>16</v>
      </c>
      <c r="G1" s="21" t="s">
        <v>2</v>
      </c>
      <c r="H1" s="56" t="s">
        <v>3</v>
      </c>
      <c r="I1" s="27" t="s">
        <v>4</v>
      </c>
      <c r="J1" s="3" t="s">
        <v>5</v>
      </c>
    </row>
    <row r="2" spans="1:10" x14ac:dyDescent="0.3">
      <c r="A2" s="4">
        <f t="shared" ref="A2:A21" si="0">ROW() - ROW($A$1)</f>
        <v>1</v>
      </c>
      <c r="B2" s="39" t="s">
        <v>7</v>
      </c>
      <c r="C2" s="40" t="s">
        <v>69</v>
      </c>
      <c r="D2" s="48" t="s">
        <v>70</v>
      </c>
      <c r="E2" s="42" t="s">
        <v>18</v>
      </c>
      <c r="F2" s="50">
        <v>1.7361111111111108E-2</v>
      </c>
      <c r="G2" s="69">
        <v>0.3923611111111111</v>
      </c>
      <c r="H2" s="22"/>
      <c r="I2" s="50">
        <v>1.7361111111111108E-2</v>
      </c>
      <c r="J2" s="5">
        <f t="shared" ref="J2:J21" si="1">H2-G2</f>
        <v>-0.3923611111111111</v>
      </c>
    </row>
    <row r="3" spans="1:10" x14ac:dyDescent="0.3">
      <c r="A3" s="4">
        <f t="shared" si="0"/>
        <v>2</v>
      </c>
      <c r="B3" s="42" t="s">
        <v>8</v>
      </c>
      <c r="C3" s="43" t="s">
        <v>72</v>
      </c>
      <c r="D3" s="49" t="s">
        <v>73</v>
      </c>
      <c r="E3" s="42" t="s">
        <v>18</v>
      </c>
      <c r="F3" s="51">
        <v>1.388888888888889E-2</v>
      </c>
      <c r="G3" s="70"/>
      <c r="H3" s="8">
        <v>0.42291666666666672</v>
      </c>
      <c r="I3" s="51">
        <v>1.388888888888889E-2</v>
      </c>
      <c r="J3" s="5">
        <f t="shared" si="1"/>
        <v>0.42291666666666672</v>
      </c>
    </row>
    <row r="4" spans="1:10" x14ac:dyDescent="0.3">
      <c r="A4" s="4">
        <f t="shared" si="0"/>
        <v>3</v>
      </c>
      <c r="B4" s="42" t="s">
        <v>9</v>
      </c>
      <c r="C4" s="43" t="s">
        <v>74</v>
      </c>
      <c r="D4" s="49" t="s">
        <v>75</v>
      </c>
      <c r="E4" s="42" t="s">
        <v>18</v>
      </c>
      <c r="F4" s="51">
        <v>1.041666666666667E-2</v>
      </c>
      <c r="G4" s="70"/>
      <c r="H4" s="8"/>
      <c r="I4" s="51">
        <v>1.041666666666667E-2</v>
      </c>
      <c r="J4" s="5">
        <f t="shared" si="1"/>
        <v>0</v>
      </c>
    </row>
    <row r="5" spans="1:10" x14ac:dyDescent="0.3">
      <c r="A5" s="4">
        <f t="shared" si="0"/>
        <v>4</v>
      </c>
      <c r="B5" s="42" t="s">
        <v>89</v>
      </c>
      <c r="C5" s="43" t="s">
        <v>90</v>
      </c>
      <c r="D5" s="49" t="s">
        <v>91</v>
      </c>
      <c r="E5" s="42" t="s">
        <v>18</v>
      </c>
      <c r="F5" s="51">
        <v>1.388888888888889E-2</v>
      </c>
      <c r="G5" s="70">
        <v>0.42708333333333331</v>
      </c>
      <c r="H5" s="8">
        <v>0.44791666666666669</v>
      </c>
      <c r="I5" s="5"/>
      <c r="J5" s="5">
        <f t="shared" si="1"/>
        <v>2.083333333333337E-2</v>
      </c>
    </row>
    <row r="6" spans="1:10" x14ac:dyDescent="0.3">
      <c r="A6" s="4">
        <f t="shared" si="0"/>
        <v>5</v>
      </c>
      <c r="B6" s="42" t="s">
        <v>93</v>
      </c>
      <c r="C6" s="43" t="s">
        <v>94</v>
      </c>
      <c r="D6" s="49" t="s">
        <v>95</v>
      </c>
      <c r="E6" s="42" t="s">
        <v>18</v>
      </c>
      <c r="F6" s="51">
        <v>6.9444444444444441E-3</v>
      </c>
      <c r="G6" s="70"/>
      <c r="H6" s="8"/>
      <c r="I6" s="5"/>
      <c r="J6" s="5">
        <f t="shared" si="1"/>
        <v>0</v>
      </c>
    </row>
    <row r="7" spans="1:10" x14ac:dyDescent="0.3">
      <c r="A7" s="4">
        <f t="shared" si="0"/>
        <v>6</v>
      </c>
      <c r="B7" s="42" t="s">
        <v>96</v>
      </c>
      <c r="C7" s="43" t="s">
        <v>97</v>
      </c>
      <c r="D7" s="49" t="s">
        <v>98</v>
      </c>
      <c r="E7" s="42" t="s">
        <v>18</v>
      </c>
      <c r="F7" s="51">
        <v>1.7361111111111108E-2</v>
      </c>
      <c r="G7" s="70"/>
      <c r="H7" s="8"/>
      <c r="I7" s="5"/>
      <c r="J7" s="5">
        <f t="shared" si="1"/>
        <v>0</v>
      </c>
    </row>
    <row r="8" spans="1:10" x14ac:dyDescent="0.3">
      <c r="A8" s="4">
        <f t="shared" si="0"/>
        <v>7</v>
      </c>
      <c r="B8" s="42" t="s">
        <v>132</v>
      </c>
      <c r="C8" s="43" t="s">
        <v>133</v>
      </c>
      <c r="D8" s="49" t="s">
        <v>134</v>
      </c>
      <c r="E8" s="42" t="s">
        <v>18</v>
      </c>
      <c r="F8" s="57">
        <v>4.1666666666666657E-2</v>
      </c>
      <c r="G8" s="70"/>
      <c r="H8" s="8"/>
      <c r="I8" s="5"/>
      <c r="J8" s="5">
        <f t="shared" si="1"/>
        <v>0</v>
      </c>
    </row>
    <row r="9" spans="1:10" x14ac:dyDescent="0.3">
      <c r="A9" s="4">
        <f t="shared" si="0"/>
        <v>8</v>
      </c>
      <c r="B9" s="42" t="s">
        <v>86</v>
      </c>
      <c r="C9" s="43"/>
      <c r="D9" s="49"/>
      <c r="E9" s="42" t="s">
        <v>18</v>
      </c>
      <c r="F9" s="57">
        <v>4.1666666666666657E-2</v>
      </c>
      <c r="G9" s="70"/>
      <c r="H9" s="8"/>
      <c r="I9" s="5"/>
      <c r="J9" s="5">
        <f t="shared" si="1"/>
        <v>0</v>
      </c>
    </row>
    <row r="10" spans="1:10" x14ac:dyDescent="0.3">
      <c r="A10" s="4">
        <f t="shared" si="0"/>
        <v>9</v>
      </c>
      <c r="B10" s="42" t="s">
        <v>135</v>
      </c>
      <c r="C10" s="43" t="s">
        <v>90</v>
      </c>
      <c r="D10" s="49" t="s">
        <v>136</v>
      </c>
      <c r="E10" s="42" t="s">
        <v>18</v>
      </c>
      <c r="F10" s="51">
        <v>2.777777777777778E-2</v>
      </c>
      <c r="G10" s="70"/>
      <c r="H10" s="8"/>
      <c r="I10" s="51">
        <v>2.0833333333333329E-2</v>
      </c>
      <c r="J10" s="5">
        <f t="shared" si="1"/>
        <v>0</v>
      </c>
    </row>
    <row r="11" spans="1:10" x14ac:dyDescent="0.3">
      <c r="A11" s="4">
        <f t="shared" si="0"/>
        <v>10</v>
      </c>
      <c r="B11" s="42" t="s">
        <v>137</v>
      </c>
      <c r="C11" s="43" t="s">
        <v>138</v>
      </c>
      <c r="D11" s="49" t="s">
        <v>139</v>
      </c>
      <c r="E11" s="42" t="s">
        <v>18</v>
      </c>
      <c r="F11" s="51">
        <v>2.0833333333333329E-2</v>
      </c>
      <c r="G11" s="70"/>
      <c r="H11" s="8"/>
      <c r="I11" s="9"/>
      <c r="J11" s="5">
        <f t="shared" si="1"/>
        <v>0</v>
      </c>
    </row>
    <row r="12" spans="1:10" x14ac:dyDescent="0.3">
      <c r="A12" s="4">
        <f t="shared" si="0"/>
        <v>11</v>
      </c>
      <c r="B12" s="42" t="s">
        <v>140</v>
      </c>
      <c r="C12" s="43" t="s">
        <v>141</v>
      </c>
      <c r="D12" s="49" t="s">
        <v>142</v>
      </c>
      <c r="E12" s="42" t="s">
        <v>18</v>
      </c>
      <c r="F12" s="51">
        <v>4.1666666666666657E-2</v>
      </c>
      <c r="G12" s="70"/>
      <c r="H12" s="8"/>
      <c r="I12" s="9"/>
      <c r="J12" s="5">
        <f t="shared" si="1"/>
        <v>0</v>
      </c>
    </row>
    <row r="13" spans="1:10" x14ac:dyDescent="0.3">
      <c r="A13" s="4">
        <f t="shared" si="0"/>
        <v>12</v>
      </c>
      <c r="B13" s="42" t="s">
        <v>12</v>
      </c>
      <c r="C13" s="43" t="s">
        <v>131</v>
      </c>
      <c r="D13" s="49" t="s">
        <v>101</v>
      </c>
      <c r="E13" s="42" t="s">
        <v>18</v>
      </c>
      <c r="F13" s="51">
        <v>6.25E-2</v>
      </c>
      <c r="G13" s="70"/>
      <c r="H13" s="8"/>
      <c r="I13" s="51"/>
      <c r="J13" s="5">
        <f t="shared" si="1"/>
        <v>0</v>
      </c>
    </row>
    <row r="14" spans="1:10" x14ac:dyDescent="0.3">
      <c r="A14" s="4">
        <f t="shared" si="0"/>
        <v>13</v>
      </c>
      <c r="B14" s="42" t="s">
        <v>13</v>
      </c>
      <c r="C14" s="43" t="s">
        <v>103</v>
      </c>
      <c r="D14" s="49" t="s">
        <v>104</v>
      </c>
      <c r="E14" s="42" t="s">
        <v>18</v>
      </c>
      <c r="F14" s="51">
        <v>1.7361111111111108E-2</v>
      </c>
      <c r="G14" s="70"/>
      <c r="H14" s="8"/>
      <c r="I14" s="51"/>
      <c r="J14" s="5">
        <f t="shared" si="1"/>
        <v>0</v>
      </c>
    </row>
    <row r="15" spans="1:10" x14ac:dyDescent="0.3">
      <c r="A15" s="4">
        <f t="shared" si="0"/>
        <v>14</v>
      </c>
      <c r="B15" s="42" t="s">
        <v>14</v>
      </c>
      <c r="C15" s="43" t="s">
        <v>106</v>
      </c>
      <c r="D15" s="49" t="s">
        <v>107</v>
      </c>
      <c r="E15" s="42" t="s">
        <v>18</v>
      </c>
      <c r="F15" s="51">
        <v>6.9444444444444441E-3</v>
      </c>
      <c r="G15" s="70"/>
      <c r="H15" s="8"/>
      <c r="I15" s="51"/>
      <c r="J15" s="5">
        <f t="shared" si="1"/>
        <v>0</v>
      </c>
    </row>
    <row r="16" spans="1:10" x14ac:dyDescent="0.3">
      <c r="A16" s="4">
        <f t="shared" si="0"/>
        <v>15</v>
      </c>
      <c r="B16" s="42" t="s">
        <v>109</v>
      </c>
      <c r="C16" s="43" t="s">
        <v>110</v>
      </c>
      <c r="D16" s="49" t="s">
        <v>111</v>
      </c>
      <c r="E16" s="42" t="s">
        <v>18</v>
      </c>
      <c r="F16" s="51">
        <v>2.0833333333333329E-2</v>
      </c>
      <c r="G16" s="70"/>
      <c r="H16" s="8"/>
      <c r="I16" s="51"/>
      <c r="J16" s="5">
        <f t="shared" si="1"/>
        <v>0</v>
      </c>
    </row>
    <row r="17" spans="1:10" x14ac:dyDescent="0.3">
      <c r="A17" s="4">
        <f t="shared" si="0"/>
        <v>16</v>
      </c>
      <c r="B17" s="42"/>
      <c r="C17" s="43"/>
      <c r="D17" s="49"/>
      <c r="E17" s="8"/>
      <c r="F17" s="57"/>
      <c r="G17" s="70"/>
      <c r="H17" s="8"/>
      <c r="I17" s="51"/>
      <c r="J17" s="5">
        <f t="shared" si="1"/>
        <v>0</v>
      </c>
    </row>
    <row r="18" spans="1:10" x14ac:dyDescent="0.3">
      <c r="A18" s="4">
        <f t="shared" si="0"/>
        <v>17</v>
      </c>
      <c r="B18" s="42"/>
      <c r="C18" s="43"/>
      <c r="D18" s="49"/>
      <c r="E18" s="8"/>
      <c r="F18" s="57"/>
      <c r="G18" s="70"/>
      <c r="H18" s="8"/>
      <c r="I18" s="51"/>
      <c r="J18" s="5">
        <f t="shared" si="1"/>
        <v>0</v>
      </c>
    </row>
    <row r="19" spans="1:10" x14ac:dyDescent="0.3">
      <c r="A19" s="4">
        <f t="shared" si="0"/>
        <v>18</v>
      </c>
      <c r="B19" s="42"/>
      <c r="C19" s="43"/>
      <c r="D19" s="49"/>
      <c r="E19" s="8"/>
      <c r="F19" s="57"/>
      <c r="G19" s="70"/>
      <c r="H19" s="8"/>
      <c r="I19" s="51"/>
      <c r="J19" s="5">
        <f t="shared" si="1"/>
        <v>0</v>
      </c>
    </row>
    <row r="20" spans="1:10" x14ac:dyDescent="0.3">
      <c r="A20" s="4">
        <f t="shared" si="0"/>
        <v>19</v>
      </c>
      <c r="B20" s="42"/>
      <c r="C20" s="43"/>
      <c r="D20" s="49"/>
      <c r="E20" s="8"/>
      <c r="F20" s="57"/>
      <c r="G20" s="70"/>
      <c r="H20" s="8"/>
      <c r="I20" s="51"/>
      <c r="J20" s="5">
        <f t="shared" si="1"/>
        <v>0</v>
      </c>
    </row>
    <row r="21" spans="1:10" ht="15" customHeight="1" thickBot="1" x14ac:dyDescent="0.35">
      <c r="A21" s="4">
        <f t="shared" si="0"/>
        <v>20</v>
      </c>
      <c r="B21" s="42"/>
      <c r="C21" s="43"/>
      <c r="D21" s="49"/>
      <c r="E21" s="10"/>
      <c r="F21" s="57"/>
      <c r="G21" s="71"/>
      <c r="H21" s="10"/>
      <c r="I21" s="51"/>
      <c r="J21" s="5">
        <f t="shared" si="1"/>
        <v>0</v>
      </c>
    </row>
    <row r="22" spans="1:10" ht="15" customHeight="1" thickBot="1" x14ac:dyDescent="0.35">
      <c r="A22" s="12"/>
      <c r="B22" s="12"/>
      <c r="C22" s="12"/>
      <c r="D22" s="12"/>
      <c r="E22" s="54"/>
      <c r="F22" s="64">
        <f>SUM(F2:F16)</f>
        <v>0.36111111111111105</v>
      </c>
      <c r="G22" s="59"/>
      <c r="H22" s="14"/>
      <c r="I22" s="26"/>
      <c r="J22" s="15">
        <f>SUM(J2:J21)</f>
        <v>5.1388888888888984E-2</v>
      </c>
    </row>
  </sheetData>
  <dataValidations count="1">
    <dataValidation type="list" allowBlank="1" showInputMessage="1" showErrorMessage="1" sqref="E2:E16" xr:uid="{00000000-0002-0000-0A00-000000000000}">
      <formula1>"Completed, Incomplete, In-Progress"</formula1>
    </dataValidation>
  </dataValidation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J38"/>
  <sheetViews>
    <sheetView topLeftCell="B6" workbookViewId="0">
      <selection sqref="A1:J22"/>
    </sheetView>
  </sheetViews>
  <sheetFormatPr defaultRowHeight="14.4" x14ac:dyDescent="0.3"/>
  <cols>
    <col min="2" max="4" width="50.88671875" customWidth="1"/>
    <col min="5" max="5" width="12.44140625" bestFit="1" customWidth="1"/>
    <col min="6" max="6" width="10.88671875" bestFit="1" customWidth="1"/>
    <col min="7" max="7" width="12.33203125" customWidth="1"/>
  </cols>
  <sheetData>
    <row r="1" spans="1:10" ht="15" customHeight="1" thickBot="1" x14ac:dyDescent="0.35">
      <c r="A1" s="1" t="s">
        <v>0</v>
      </c>
      <c r="B1" s="35" t="s">
        <v>59</v>
      </c>
      <c r="C1" s="36" t="s">
        <v>60</v>
      </c>
      <c r="D1" s="37" t="s">
        <v>61</v>
      </c>
      <c r="E1" s="53" t="s">
        <v>6</v>
      </c>
      <c r="F1" s="35" t="s">
        <v>16</v>
      </c>
      <c r="G1" s="21" t="s">
        <v>2</v>
      </c>
      <c r="H1" s="56" t="s">
        <v>3</v>
      </c>
      <c r="I1" s="27" t="s">
        <v>4</v>
      </c>
      <c r="J1" s="3" t="s">
        <v>5</v>
      </c>
    </row>
    <row r="2" spans="1:10" x14ac:dyDescent="0.3">
      <c r="A2" s="4">
        <f t="shared" ref="A2:A21" si="0">ROW() - ROW($A$1)</f>
        <v>1</v>
      </c>
      <c r="B2" s="39" t="s">
        <v>7</v>
      </c>
      <c r="C2" s="40" t="s">
        <v>69</v>
      </c>
      <c r="D2" s="48" t="s">
        <v>70</v>
      </c>
      <c r="E2" s="38" t="s">
        <v>18</v>
      </c>
      <c r="F2" s="50">
        <v>1.7361111111111108E-2</v>
      </c>
      <c r="G2" s="22">
        <v>0.3923611111111111</v>
      </c>
      <c r="H2" s="58"/>
      <c r="I2" s="50">
        <v>1.7361111111111108E-2</v>
      </c>
      <c r="J2" s="5">
        <f t="shared" ref="J2:J21" si="1">H2-G2</f>
        <v>-0.3923611111111111</v>
      </c>
    </row>
    <row r="3" spans="1:10" x14ac:dyDescent="0.3">
      <c r="A3" s="4">
        <f t="shared" si="0"/>
        <v>2</v>
      </c>
      <c r="B3" s="42" t="s">
        <v>8</v>
      </c>
      <c r="C3" s="43" t="s">
        <v>72</v>
      </c>
      <c r="D3" s="49" t="s">
        <v>73</v>
      </c>
      <c r="E3" s="42" t="s">
        <v>18</v>
      </c>
      <c r="F3" s="51">
        <v>1.388888888888889E-2</v>
      </c>
      <c r="G3" s="8"/>
      <c r="H3" s="5"/>
      <c r="I3" s="51">
        <v>1.388888888888889E-2</v>
      </c>
      <c r="J3" s="5">
        <f t="shared" si="1"/>
        <v>0</v>
      </c>
    </row>
    <row r="4" spans="1:10" x14ac:dyDescent="0.3">
      <c r="A4" s="4">
        <f t="shared" si="0"/>
        <v>3</v>
      </c>
      <c r="B4" s="42" t="s">
        <v>9</v>
      </c>
      <c r="C4" s="43" t="s">
        <v>74</v>
      </c>
      <c r="D4" s="49" t="s">
        <v>75</v>
      </c>
      <c r="E4" s="42" t="s">
        <v>18</v>
      </c>
      <c r="F4" s="51">
        <v>1.041666666666667E-2</v>
      </c>
      <c r="G4" s="8"/>
      <c r="H4" s="5"/>
      <c r="I4" s="51">
        <v>1.041666666666667E-2</v>
      </c>
      <c r="J4" s="5">
        <f t="shared" si="1"/>
        <v>0</v>
      </c>
    </row>
    <row r="5" spans="1:10" x14ac:dyDescent="0.3">
      <c r="A5" s="4">
        <f t="shared" si="0"/>
        <v>4</v>
      </c>
      <c r="B5" s="42" t="s">
        <v>89</v>
      </c>
      <c r="C5" s="43" t="s">
        <v>90</v>
      </c>
      <c r="D5" s="49" t="s">
        <v>91</v>
      </c>
      <c r="E5" s="42" t="s">
        <v>18</v>
      </c>
      <c r="F5" s="51">
        <v>1.388888888888889E-2</v>
      </c>
      <c r="G5" s="8"/>
      <c r="H5" s="5"/>
      <c r="I5" s="5"/>
      <c r="J5" s="5">
        <f t="shared" si="1"/>
        <v>0</v>
      </c>
    </row>
    <row r="6" spans="1:10" ht="115.2" customHeight="1" x14ac:dyDescent="0.3">
      <c r="A6" s="4">
        <f t="shared" si="0"/>
        <v>5</v>
      </c>
      <c r="B6" s="42" t="s">
        <v>93</v>
      </c>
      <c r="C6" s="68" t="s">
        <v>94</v>
      </c>
      <c r="D6" s="49" t="s">
        <v>95</v>
      </c>
      <c r="E6" s="42" t="s">
        <v>18</v>
      </c>
      <c r="F6" s="51">
        <v>6.9444444444444441E-3</v>
      </c>
      <c r="G6" s="8"/>
      <c r="H6" s="5"/>
      <c r="I6" s="5"/>
      <c r="J6" s="5">
        <f t="shared" si="1"/>
        <v>0</v>
      </c>
    </row>
    <row r="7" spans="1:10" x14ac:dyDescent="0.3">
      <c r="A7" s="4">
        <f t="shared" si="0"/>
        <v>6</v>
      </c>
      <c r="B7" s="42" t="s">
        <v>96</v>
      </c>
      <c r="C7" s="43" t="s">
        <v>97</v>
      </c>
      <c r="D7" s="49" t="s">
        <v>98</v>
      </c>
      <c r="E7" s="42" t="s">
        <v>18</v>
      </c>
      <c r="F7" s="51">
        <v>1.7361111111111108E-2</v>
      </c>
      <c r="G7" s="8"/>
      <c r="H7" s="5"/>
      <c r="I7" s="5"/>
      <c r="J7" s="5">
        <f t="shared" si="1"/>
        <v>0</v>
      </c>
    </row>
    <row r="8" spans="1:10" x14ac:dyDescent="0.3">
      <c r="A8" s="4">
        <f t="shared" si="0"/>
        <v>7</v>
      </c>
      <c r="B8" s="42" t="s">
        <v>132</v>
      </c>
      <c r="C8" s="43" t="s">
        <v>143</v>
      </c>
      <c r="D8" s="49" t="s">
        <v>134</v>
      </c>
      <c r="E8" s="42" t="s">
        <v>18</v>
      </c>
      <c r="F8" s="57">
        <v>4.1666666666666657E-2</v>
      </c>
      <c r="G8" s="8"/>
      <c r="H8" s="5"/>
      <c r="I8" s="5"/>
      <c r="J8" s="8">
        <f t="shared" si="1"/>
        <v>0</v>
      </c>
    </row>
    <row r="9" spans="1:10" x14ac:dyDescent="0.3">
      <c r="A9" s="4">
        <f t="shared" si="0"/>
        <v>8</v>
      </c>
      <c r="B9" s="42" t="s">
        <v>144</v>
      </c>
      <c r="C9" s="43" t="s">
        <v>145</v>
      </c>
      <c r="D9" s="49" t="s">
        <v>146</v>
      </c>
      <c r="E9" s="42" t="s">
        <v>18</v>
      </c>
      <c r="F9" s="57">
        <v>1.388888888888889E-2</v>
      </c>
      <c r="G9" s="8"/>
      <c r="H9" s="5"/>
      <c r="I9" s="5"/>
      <c r="J9" s="5">
        <f t="shared" si="1"/>
        <v>0</v>
      </c>
    </row>
    <row r="10" spans="1:10" x14ac:dyDescent="0.3">
      <c r="A10" s="4">
        <f t="shared" si="0"/>
        <v>9</v>
      </c>
      <c r="B10" s="72" t="s">
        <v>147</v>
      </c>
      <c r="C10" s="43"/>
      <c r="D10" s="49"/>
      <c r="E10" s="72" t="s">
        <v>148</v>
      </c>
      <c r="F10" s="57">
        <v>5.2083333333333343E-2</v>
      </c>
      <c r="G10" s="8"/>
      <c r="H10" s="5"/>
      <c r="I10" s="5"/>
      <c r="J10" s="5">
        <f t="shared" si="1"/>
        <v>0</v>
      </c>
    </row>
    <row r="11" spans="1:10" x14ac:dyDescent="0.3">
      <c r="A11" s="4">
        <f t="shared" si="0"/>
        <v>10</v>
      </c>
      <c r="B11" s="42"/>
      <c r="C11" s="43" t="s">
        <v>87</v>
      </c>
      <c r="D11" s="49" t="s">
        <v>87</v>
      </c>
      <c r="E11" s="42"/>
      <c r="F11" s="57"/>
      <c r="G11" s="8"/>
      <c r="H11" s="5"/>
      <c r="I11" s="51">
        <v>4.1666666666666657E-2</v>
      </c>
      <c r="J11" s="5">
        <f t="shared" si="1"/>
        <v>0</v>
      </c>
    </row>
    <row r="12" spans="1:10" x14ac:dyDescent="0.3">
      <c r="A12" s="4">
        <f t="shared" si="0"/>
        <v>11</v>
      </c>
      <c r="B12" s="4"/>
      <c r="C12" s="4"/>
      <c r="D12" s="4"/>
      <c r="E12" s="42"/>
      <c r="F12" s="57"/>
      <c r="G12" s="8"/>
      <c r="H12" s="5"/>
      <c r="I12" s="51">
        <v>6.25E-2</v>
      </c>
      <c r="J12" s="5">
        <f t="shared" si="1"/>
        <v>0</v>
      </c>
    </row>
    <row r="13" spans="1:10" x14ac:dyDescent="0.3">
      <c r="A13" s="4">
        <f t="shared" si="0"/>
        <v>12</v>
      </c>
      <c r="B13" s="42" t="s">
        <v>86</v>
      </c>
      <c r="C13" s="4"/>
      <c r="D13" s="4"/>
      <c r="E13" s="42"/>
      <c r="F13" s="57"/>
      <c r="G13" s="8"/>
      <c r="H13" s="5"/>
      <c r="I13" s="51">
        <v>1.7361111111111108E-2</v>
      </c>
      <c r="J13" s="5">
        <f t="shared" si="1"/>
        <v>0</v>
      </c>
    </row>
    <row r="14" spans="1:10" x14ac:dyDescent="0.3">
      <c r="A14" s="4">
        <f t="shared" si="0"/>
        <v>13</v>
      </c>
      <c r="B14" s="4"/>
      <c r="C14" s="4"/>
      <c r="D14" s="4"/>
      <c r="E14" s="42"/>
      <c r="F14" s="57"/>
      <c r="G14" s="8"/>
      <c r="H14" s="5"/>
      <c r="I14" s="51">
        <v>6.9444444444444441E-3</v>
      </c>
      <c r="J14" s="5">
        <f t="shared" si="1"/>
        <v>0</v>
      </c>
    </row>
    <row r="15" spans="1:10" x14ac:dyDescent="0.3">
      <c r="A15" s="4">
        <f t="shared" si="0"/>
        <v>14</v>
      </c>
      <c r="B15" s="4"/>
      <c r="C15" s="4"/>
      <c r="D15" s="4"/>
      <c r="E15" s="42"/>
      <c r="F15" s="57"/>
      <c r="G15" s="8"/>
      <c r="H15" s="5"/>
      <c r="I15" s="51">
        <v>2.0833333333333329E-2</v>
      </c>
      <c r="J15" s="5">
        <f t="shared" si="1"/>
        <v>0</v>
      </c>
    </row>
    <row r="16" spans="1:10" x14ac:dyDescent="0.3">
      <c r="A16" s="4">
        <f t="shared" si="0"/>
        <v>15</v>
      </c>
      <c r="B16" s="4"/>
      <c r="C16" s="4"/>
      <c r="D16" s="4"/>
      <c r="E16" s="55"/>
      <c r="F16" s="52"/>
      <c r="G16" s="8"/>
      <c r="H16" s="5"/>
      <c r="I16" s="9"/>
      <c r="J16" s="5">
        <f t="shared" si="1"/>
        <v>0</v>
      </c>
    </row>
    <row r="17" spans="1:10" x14ac:dyDescent="0.3">
      <c r="A17" s="4">
        <f t="shared" si="0"/>
        <v>16</v>
      </c>
      <c r="B17" s="4"/>
      <c r="C17" s="4"/>
      <c r="D17" s="4"/>
      <c r="E17" s="55"/>
      <c r="F17" s="52"/>
      <c r="G17" s="8"/>
      <c r="H17" s="5"/>
      <c r="I17" s="9"/>
      <c r="J17" s="5">
        <f t="shared" si="1"/>
        <v>0</v>
      </c>
    </row>
    <row r="18" spans="1:10" x14ac:dyDescent="0.3">
      <c r="A18" s="4">
        <f t="shared" si="0"/>
        <v>17</v>
      </c>
      <c r="B18" s="42" t="s">
        <v>12</v>
      </c>
      <c r="C18" s="43" t="s">
        <v>131</v>
      </c>
      <c r="D18" s="49" t="s">
        <v>101</v>
      </c>
      <c r="E18" s="55"/>
      <c r="F18" s="51">
        <v>6.25E-2</v>
      </c>
      <c r="G18" s="8"/>
      <c r="H18" s="5"/>
      <c r="I18" s="51"/>
      <c r="J18" s="5">
        <f t="shared" si="1"/>
        <v>0</v>
      </c>
    </row>
    <row r="19" spans="1:10" x14ac:dyDescent="0.3">
      <c r="A19" s="4">
        <f t="shared" si="0"/>
        <v>18</v>
      </c>
      <c r="B19" s="42" t="s">
        <v>13</v>
      </c>
      <c r="C19" s="43" t="s">
        <v>103</v>
      </c>
      <c r="D19" s="49" t="s">
        <v>104</v>
      </c>
      <c r="E19" s="55"/>
      <c r="F19" s="51">
        <v>1.7361111111111108E-2</v>
      </c>
      <c r="G19" s="8"/>
      <c r="H19" s="5"/>
      <c r="I19" s="51"/>
      <c r="J19" s="5">
        <f t="shared" si="1"/>
        <v>0</v>
      </c>
    </row>
    <row r="20" spans="1:10" x14ac:dyDescent="0.3">
      <c r="A20" s="4">
        <f t="shared" si="0"/>
        <v>19</v>
      </c>
      <c r="B20" s="42" t="s">
        <v>14</v>
      </c>
      <c r="C20" s="43" t="s">
        <v>106</v>
      </c>
      <c r="D20" s="49" t="s">
        <v>107</v>
      </c>
      <c r="E20" s="55"/>
      <c r="F20" s="51">
        <v>6.9444444444444441E-3</v>
      </c>
      <c r="G20" s="8"/>
      <c r="H20" s="5"/>
      <c r="I20" s="51"/>
      <c r="J20" s="5">
        <f t="shared" si="1"/>
        <v>0</v>
      </c>
    </row>
    <row r="21" spans="1:10" ht="15" customHeight="1" thickBot="1" x14ac:dyDescent="0.35">
      <c r="A21" s="4">
        <f t="shared" si="0"/>
        <v>20</v>
      </c>
      <c r="B21" s="42" t="s">
        <v>109</v>
      </c>
      <c r="C21" s="43" t="s">
        <v>110</v>
      </c>
      <c r="D21" s="49" t="s">
        <v>111</v>
      </c>
      <c r="E21" s="10"/>
      <c r="F21" s="51">
        <v>2.0833333333333329E-2</v>
      </c>
      <c r="G21" s="10"/>
      <c r="H21" s="11"/>
      <c r="I21" s="51"/>
      <c r="J21" s="5">
        <f t="shared" si="1"/>
        <v>0</v>
      </c>
    </row>
    <row r="22" spans="1:10" ht="15" customHeight="1" thickBot="1" x14ac:dyDescent="0.35">
      <c r="A22" s="12"/>
      <c r="B22" s="12"/>
      <c r="C22" s="12"/>
      <c r="D22" s="12"/>
      <c r="E22" s="54"/>
      <c r="F22" s="64">
        <f>SUM(F2:F21)</f>
        <v>0.29513888888888884</v>
      </c>
      <c r="G22" s="59"/>
      <c r="H22" s="14"/>
      <c r="I22" s="26"/>
      <c r="J22" s="15">
        <f>SUM(J2:J21)</f>
        <v>-0.3923611111111111</v>
      </c>
    </row>
    <row r="23" spans="1:10" ht="15" customHeight="1" thickBot="1" x14ac:dyDescent="0.35"/>
    <row r="24" spans="1:10" ht="15" customHeight="1" thickBot="1" x14ac:dyDescent="0.35">
      <c r="A24" s="34" t="s">
        <v>0</v>
      </c>
      <c r="B24" s="35" t="s">
        <v>59</v>
      </c>
      <c r="C24" s="36" t="s">
        <v>60</v>
      </c>
      <c r="D24" s="37" t="s">
        <v>61</v>
      </c>
      <c r="E24" s="76" t="s">
        <v>6</v>
      </c>
      <c r="F24" s="35" t="s">
        <v>16</v>
      </c>
    </row>
    <row r="25" spans="1:10" x14ac:dyDescent="0.3">
      <c r="A25" s="77">
        <v>1</v>
      </c>
      <c r="B25" s="39" t="s">
        <v>7</v>
      </c>
      <c r="C25" s="40" t="s">
        <v>69</v>
      </c>
      <c r="D25" s="48" t="s">
        <v>70</v>
      </c>
      <c r="E25" s="38" t="s">
        <v>18</v>
      </c>
      <c r="F25" s="50">
        <v>1.7361111111111108E-2</v>
      </c>
    </row>
    <row r="26" spans="1:10" x14ac:dyDescent="0.3">
      <c r="A26" s="77">
        <v>2</v>
      </c>
      <c r="B26" s="42" t="s">
        <v>8</v>
      </c>
      <c r="C26" s="43" t="s">
        <v>72</v>
      </c>
      <c r="D26" s="49" t="s">
        <v>73</v>
      </c>
      <c r="E26" s="42" t="s">
        <v>18</v>
      </c>
      <c r="F26" s="51">
        <v>1.388888888888889E-2</v>
      </c>
    </row>
    <row r="27" spans="1:10" x14ac:dyDescent="0.3">
      <c r="A27" s="77">
        <v>3</v>
      </c>
      <c r="B27" s="42" t="s">
        <v>9</v>
      </c>
      <c r="C27" s="43" t="s">
        <v>74</v>
      </c>
      <c r="D27" s="49" t="s">
        <v>75</v>
      </c>
      <c r="E27" s="42" t="s">
        <v>18</v>
      </c>
      <c r="F27" s="51">
        <v>1.041666666666667E-2</v>
      </c>
    </row>
    <row r="28" spans="1:10" x14ac:dyDescent="0.3">
      <c r="A28" s="77">
        <v>4</v>
      </c>
      <c r="B28" s="42" t="s">
        <v>89</v>
      </c>
      <c r="C28" s="43" t="s">
        <v>90</v>
      </c>
      <c r="D28" s="49" t="s">
        <v>91</v>
      </c>
      <c r="E28" s="42" t="s">
        <v>18</v>
      </c>
      <c r="F28" s="51">
        <v>2.0833333333333329E-2</v>
      </c>
    </row>
    <row r="29" spans="1:10" x14ac:dyDescent="0.3">
      <c r="A29" s="77">
        <v>5</v>
      </c>
      <c r="B29" s="42" t="s">
        <v>93</v>
      </c>
      <c r="C29" s="43" t="s">
        <v>94</v>
      </c>
      <c r="D29" s="49" t="s">
        <v>95</v>
      </c>
      <c r="E29" s="42" t="s">
        <v>18</v>
      </c>
      <c r="F29" s="51">
        <v>1.388888888888889E-2</v>
      </c>
    </row>
    <row r="30" spans="1:10" x14ac:dyDescent="0.3">
      <c r="A30" s="77">
        <v>6</v>
      </c>
      <c r="B30" s="42" t="s">
        <v>96</v>
      </c>
      <c r="C30" s="43" t="s">
        <v>97</v>
      </c>
      <c r="D30" s="49" t="s">
        <v>98</v>
      </c>
      <c r="E30" s="42" t="s">
        <v>18</v>
      </c>
      <c r="F30" s="51">
        <v>2.0833333333333329E-2</v>
      </c>
    </row>
    <row r="31" spans="1:10" x14ac:dyDescent="0.3">
      <c r="A31" s="77">
        <v>7</v>
      </c>
      <c r="B31" s="42" t="s">
        <v>132</v>
      </c>
      <c r="C31" s="43" t="s">
        <v>143</v>
      </c>
      <c r="D31" s="49" t="s">
        <v>134</v>
      </c>
      <c r="E31" s="42" t="s">
        <v>18</v>
      </c>
      <c r="F31" s="51">
        <v>4.1666666666666657E-2</v>
      </c>
    </row>
    <row r="32" spans="1:10" x14ac:dyDescent="0.3">
      <c r="A32" s="77">
        <v>8</v>
      </c>
      <c r="B32" s="42" t="s">
        <v>144</v>
      </c>
      <c r="C32" s="43" t="s">
        <v>145</v>
      </c>
      <c r="D32" s="49" t="s">
        <v>146</v>
      </c>
      <c r="E32" s="42" t="s">
        <v>18</v>
      </c>
      <c r="F32" s="51">
        <v>2.0833333333333329E-2</v>
      </c>
    </row>
    <row r="33" spans="1:6" x14ac:dyDescent="0.3">
      <c r="A33" s="77">
        <v>9</v>
      </c>
      <c r="B33" s="42" t="s">
        <v>149</v>
      </c>
      <c r="C33" s="43" t="s">
        <v>90</v>
      </c>
      <c r="D33" s="49" t="s">
        <v>150</v>
      </c>
      <c r="E33" s="42" t="s">
        <v>18</v>
      </c>
      <c r="F33" s="51">
        <v>2.0833333333333329E-2</v>
      </c>
    </row>
    <row r="34" spans="1:6" x14ac:dyDescent="0.3">
      <c r="A34" s="77">
        <v>10</v>
      </c>
      <c r="B34" s="42" t="s">
        <v>151</v>
      </c>
      <c r="C34" s="43" t="s">
        <v>152</v>
      </c>
      <c r="D34" s="49" t="s">
        <v>153</v>
      </c>
      <c r="E34" s="42" t="s">
        <v>18</v>
      </c>
      <c r="F34" s="51">
        <v>1.388888888888889E-2</v>
      </c>
    </row>
    <row r="35" spans="1:6" x14ac:dyDescent="0.3">
      <c r="A35" s="77">
        <v>11</v>
      </c>
      <c r="B35" s="42" t="s">
        <v>154</v>
      </c>
      <c r="C35" s="43" t="s">
        <v>155</v>
      </c>
      <c r="D35" s="49" t="s">
        <v>156</v>
      </c>
      <c r="E35" s="42" t="s">
        <v>18</v>
      </c>
      <c r="F35" s="51">
        <v>2.0833333333333329E-2</v>
      </c>
    </row>
    <row r="36" spans="1:6" x14ac:dyDescent="0.3">
      <c r="A36" s="77">
        <v>12</v>
      </c>
      <c r="B36" s="42" t="s">
        <v>96</v>
      </c>
      <c r="C36" s="43" t="s">
        <v>97</v>
      </c>
      <c r="D36" s="49" t="s">
        <v>98</v>
      </c>
      <c r="E36" s="42" t="s">
        <v>18</v>
      </c>
      <c r="F36" s="51">
        <v>2.0833333333333329E-2</v>
      </c>
    </row>
    <row r="37" spans="1:6" ht="15" customHeight="1" thickBot="1" x14ac:dyDescent="0.35">
      <c r="A37" s="78">
        <v>13</v>
      </c>
      <c r="B37" s="73" t="s">
        <v>157</v>
      </c>
      <c r="C37" s="74" t="s">
        <v>158</v>
      </c>
      <c r="D37" s="75" t="s">
        <v>159</v>
      </c>
      <c r="E37" s="45" t="s">
        <v>18</v>
      </c>
      <c r="F37" s="67">
        <v>4.1666666666666657E-2</v>
      </c>
    </row>
    <row r="38" spans="1:6" x14ac:dyDescent="0.3">
      <c r="F38" s="60"/>
    </row>
  </sheetData>
  <conditionalFormatting sqref="E16:E20">
    <cfRule type="expression" dxfId="13" priority="1">
      <formula>SEARCH("In-Progress", E16)</formula>
    </cfRule>
    <cfRule type="expression" dxfId="12" priority="2">
      <formula>SEARCH("Incomplete", E16)</formula>
    </cfRule>
    <cfRule type="expression" dxfId="11" priority="3">
      <formula>SEARCH("Completed", E16)</formula>
    </cfRule>
  </conditionalFormatting>
  <dataValidations count="1">
    <dataValidation type="list" allowBlank="1" showInputMessage="1" showErrorMessage="1" sqref="E2:E20 E25:E37" xr:uid="{00000000-0002-0000-0B00-000000000000}">
      <formula1>"Completed, Incomplete, In-Progress"</formula1>
    </dataValidation>
  </dataValidation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J22"/>
  <sheetViews>
    <sheetView topLeftCell="C1" workbookViewId="0">
      <selection activeCell="C2" sqref="C2:J21"/>
    </sheetView>
  </sheetViews>
  <sheetFormatPr defaultRowHeight="14.4" x14ac:dyDescent="0.3"/>
  <cols>
    <col min="2" max="4" width="51" customWidth="1"/>
    <col min="5" max="5" width="12.44140625" bestFit="1" customWidth="1"/>
    <col min="6" max="6" width="10.88671875" bestFit="1" customWidth="1"/>
    <col min="7" max="7" width="12.33203125" customWidth="1"/>
  </cols>
  <sheetData>
    <row r="1" spans="1:10" ht="15" customHeight="1" thickBot="1" x14ac:dyDescent="0.35">
      <c r="A1" s="1" t="s">
        <v>0</v>
      </c>
      <c r="B1" s="79" t="s">
        <v>59</v>
      </c>
      <c r="C1" s="80" t="s">
        <v>60</v>
      </c>
      <c r="D1" s="81" t="s">
        <v>61</v>
      </c>
      <c r="E1" s="53" t="s">
        <v>6</v>
      </c>
      <c r="F1" s="79" t="s">
        <v>16</v>
      </c>
      <c r="G1" s="21" t="s">
        <v>2</v>
      </c>
      <c r="H1" s="56" t="s">
        <v>3</v>
      </c>
      <c r="I1" s="27" t="s">
        <v>4</v>
      </c>
      <c r="J1" s="3" t="s">
        <v>5</v>
      </c>
    </row>
    <row r="2" spans="1:10" x14ac:dyDescent="0.3">
      <c r="A2" s="4">
        <f t="shared" ref="A2:A21" si="0">ROW() - ROW($A$1)</f>
        <v>1</v>
      </c>
      <c r="B2" s="82" t="s">
        <v>7</v>
      </c>
      <c r="C2" s="118" t="s">
        <v>69</v>
      </c>
      <c r="D2" s="119" t="s">
        <v>70</v>
      </c>
      <c r="E2" s="120" t="s">
        <v>18</v>
      </c>
      <c r="F2" s="121">
        <v>1.7361111111111108E-2</v>
      </c>
      <c r="G2" s="122">
        <v>0.40277777777777779</v>
      </c>
      <c r="H2" s="123">
        <v>0.41666666666666669</v>
      </c>
      <c r="I2" s="121" t="s">
        <v>160</v>
      </c>
      <c r="J2" s="124">
        <f t="shared" ref="J2:J21" si="1">H2-G2</f>
        <v>1.3888888888888895E-2</v>
      </c>
    </row>
    <row r="3" spans="1:10" x14ac:dyDescent="0.3">
      <c r="A3" s="4">
        <f t="shared" si="0"/>
        <v>2</v>
      </c>
      <c r="B3" s="84" t="s">
        <v>8</v>
      </c>
      <c r="C3" s="125" t="s">
        <v>72</v>
      </c>
      <c r="D3" s="126" t="s">
        <v>73</v>
      </c>
      <c r="E3" s="87" t="s">
        <v>18</v>
      </c>
      <c r="F3" s="127">
        <v>1.388888888888889E-2</v>
      </c>
      <c r="G3" s="128"/>
      <c r="H3" s="124"/>
      <c r="I3" s="127">
        <v>1.388888888888889E-2</v>
      </c>
      <c r="J3" s="124">
        <f t="shared" si="1"/>
        <v>0</v>
      </c>
    </row>
    <row r="4" spans="1:10" x14ac:dyDescent="0.3">
      <c r="A4" s="4">
        <f t="shared" si="0"/>
        <v>3</v>
      </c>
      <c r="B4" s="84" t="s">
        <v>9</v>
      </c>
      <c r="C4" s="125" t="s">
        <v>74</v>
      </c>
      <c r="D4" s="126" t="s">
        <v>75</v>
      </c>
      <c r="E4" s="87" t="s">
        <v>18</v>
      </c>
      <c r="F4" s="127">
        <v>1.041666666666667E-2</v>
      </c>
      <c r="G4" s="128"/>
      <c r="H4" s="124"/>
      <c r="I4" s="127">
        <v>1.041666666666667E-2</v>
      </c>
      <c r="J4" s="124">
        <f t="shared" si="1"/>
        <v>0</v>
      </c>
    </row>
    <row r="5" spans="1:10" x14ac:dyDescent="0.3">
      <c r="A5" s="4">
        <f t="shared" si="0"/>
        <v>4</v>
      </c>
      <c r="B5" s="84" t="s">
        <v>89</v>
      </c>
      <c r="C5" s="125" t="s">
        <v>90</v>
      </c>
      <c r="D5" s="126" t="s">
        <v>91</v>
      </c>
      <c r="E5" s="87"/>
      <c r="F5" s="127">
        <v>1.388888888888889E-2</v>
      </c>
      <c r="G5" s="128"/>
      <c r="H5" s="124"/>
      <c r="I5" s="124"/>
      <c r="J5" s="124">
        <f t="shared" si="1"/>
        <v>0</v>
      </c>
    </row>
    <row r="6" spans="1:10" x14ac:dyDescent="0.3">
      <c r="A6" s="4">
        <f t="shared" si="0"/>
        <v>5</v>
      </c>
      <c r="B6" s="84" t="s">
        <v>93</v>
      </c>
      <c r="C6" s="125" t="s">
        <v>94</v>
      </c>
      <c r="D6" s="126" t="s">
        <v>95</v>
      </c>
      <c r="E6" s="87"/>
      <c r="F6" s="127">
        <v>6.9444444444444441E-3</v>
      </c>
      <c r="G6" s="128"/>
      <c r="H6" s="124"/>
      <c r="I6" s="124"/>
      <c r="J6" s="124">
        <f t="shared" si="1"/>
        <v>0</v>
      </c>
    </row>
    <row r="7" spans="1:10" x14ac:dyDescent="0.3">
      <c r="A7" s="4">
        <f t="shared" si="0"/>
        <v>6</v>
      </c>
      <c r="B7" s="84" t="s">
        <v>96</v>
      </c>
      <c r="C7" s="125" t="s">
        <v>97</v>
      </c>
      <c r="D7" s="126" t="s">
        <v>98</v>
      </c>
      <c r="E7" s="87"/>
      <c r="F7" s="127">
        <v>1.7361111111111108E-2</v>
      </c>
      <c r="G7" s="128"/>
      <c r="H7" s="124"/>
      <c r="I7" s="124"/>
      <c r="J7" s="124">
        <f t="shared" si="1"/>
        <v>0</v>
      </c>
    </row>
    <row r="8" spans="1:10" x14ac:dyDescent="0.3">
      <c r="A8" s="4">
        <f t="shared" si="0"/>
        <v>7</v>
      </c>
      <c r="B8" s="84" t="s">
        <v>132</v>
      </c>
      <c r="C8" s="125" t="s">
        <v>143</v>
      </c>
      <c r="D8" s="126" t="s">
        <v>134</v>
      </c>
      <c r="E8" s="87"/>
      <c r="F8" s="129">
        <v>4.1666666666666657E-2</v>
      </c>
      <c r="G8" s="128"/>
      <c r="H8" s="124">
        <v>0.5</v>
      </c>
      <c r="I8" s="124"/>
      <c r="J8" s="128">
        <f t="shared" si="1"/>
        <v>0.5</v>
      </c>
    </row>
    <row r="9" spans="1:10" x14ac:dyDescent="0.3">
      <c r="A9" s="4">
        <f t="shared" si="0"/>
        <v>8</v>
      </c>
      <c r="B9" s="84"/>
      <c r="C9" s="125"/>
      <c r="D9" s="126"/>
      <c r="E9" s="87"/>
      <c r="F9" s="129"/>
      <c r="G9" s="128"/>
      <c r="H9" s="124"/>
      <c r="I9" s="124"/>
      <c r="J9" s="124">
        <f t="shared" si="1"/>
        <v>0</v>
      </c>
    </row>
    <row r="10" spans="1:10" x14ac:dyDescent="0.3">
      <c r="A10" s="4">
        <f t="shared" si="0"/>
        <v>9</v>
      </c>
      <c r="B10" s="87" t="s">
        <v>147</v>
      </c>
      <c r="C10" s="125"/>
      <c r="D10" s="126"/>
      <c r="E10" s="87"/>
      <c r="F10" s="129">
        <v>5.2083333333333343E-2</v>
      </c>
      <c r="G10" s="128"/>
      <c r="H10" s="124"/>
      <c r="I10" s="124"/>
      <c r="J10" s="124">
        <f t="shared" si="1"/>
        <v>0</v>
      </c>
    </row>
    <row r="11" spans="1:10" x14ac:dyDescent="0.3">
      <c r="A11" s="4">
        <f t="shared" si="0"/>
        <v>10</v>
      </c>
      <c r="B11" s="84"/>
      <c r="C11" s="125" t="s">
        <v>87</v>
      </c>
      <c r="D11" s="126" t="s">
        <v>87</v>
      </c>
      <c r="E11" s="87"/>
      <c r="F11" s="129"/>
      <c r="G11" s="128"/>
      <c r="H11" s="124"/>
      <c r="I11" s="127">
        <v>4.1666666666666657E-2</v>
      </c>
      <c r="J11" s="124">
        <f t="shared" si="1"/>
        <v>0</v>
      </c>
    </row>
    <row r="12" spans="1:10" x14ac:dyDescent="0.3">
      <c r="A12" s="4">
        <f t="shared" si="0"/>
        <v>11</v>
      </c>
      <c r="B12" s="4"/>
      <c r="C12" s="130"/>
      <c r="D12" s="130"/>
      <c r="E12" s="87"/>
      <c r="F12" s="129"/>
      <c r="G12" s="128"/>
      <c r="H12" s="124"/>
      <c r="I12" s="127">
        <v>6.25E-2</v>
      </c>
      <c r="J12" s="124">
        <f t="shared" si="1"/>
        <v>0</v>
      </c>
    </row>
    <row r="13" spans="1:10" x14ac:dyDescent="0.3">
      <c r="A13" s="4">
        <f t="shared" si="0"/>
        <v>12</v>
      </c>
      <c r="B13" s="84" t="s">
        <v>86</v>
      </c>
      <c r="C13" s="130"/>
      <c r="D13" s="130"/>
      <c r="E13" s="87"/>
      <c r="F13" s="129"/>
      <c r="G13" s="128"/>
      <c r="H13" s="124"/>
      <c r="I13" s="127">
        <v>1.7361111111111108E-2</v>
      </c>
      <c r="J13" s="124">
        <f t="shared" si="1"/>
        <v>0</v>
      </c>
    </row>
    <row r="14" spans="1:10" x14ac:dyDescent="0.3">
      <c r="A14" s="4">
        <f t="shared" si="0"/>
        <v>13</v>
      </c>
      <c r="B14" s="4"/>
      <c r="C14" s="130"/>
      <c r="D14" s="130"/>
      <c r="E14" s="87"/>
      <c r="F14" s="129"/>
      <c r="G14" s="128"/>
      <c r="H14" s="124"/>
      <c r="I14" s="127">
        <v>6.9444444444444441E-3</v>
      </c>
      <c r="J14" s="124">
        <f t="shared" si="1"/>
        <v>0</v>
      </c>
    </row>
    <row r="15" spans="1:10" x14ac:dyDescent="0.3">
      <c r="A15" s="4">
        <f t="shared" si="0"/>
        <v>14</v>
      </c>
      <c r="B15" s="4"/>
      <c r="C15" s="130"/>
      <c r="D15" s="130"/>
      <c r="E15" s="87"/>
      <c r="F15" s="129"/>
      <c r="G15" s="128"/>
      <c r="H15" s="124"/>
      <c r="I15" s="127">
        <v>2.0833333333333329E-2</v>
      </c>
      <c r="J15" s="124">
        <f t="shared" si="1"/>
        <v>0</v>
      </c>
    </row>
    <row r="16" spans="1:10" x14ac:dyDescent="0.3">
      <c r="A16" s="4">
        <f t="shared" si="0"/>
        <v>15</v>
      </c>
      <c r="B16" s="4"/>
      <c r="C16" s="130"/>
      <c r="D16" s="130"/>
      <c r="E16" s="131"/>
      <c r="F16" s="132"/>
      <c r="G16" s="128"/>
      <c r="H16" s="124"/>
      <c r="I16" s="133"/>
      <c r="J16" s="124">
        <f t="shared" si="1"/>
        <v>0</v>
      </c>
    </row>
    <row r="17" spans="1:10" x14ac:dyDescent="0.3">
      <c r="A17" s="4">
        <f t="shared" si="0"/>
        <v>16</v>
      </c>
      <c r="B17" s="4"/>
      <c r="C17" s="130"/>
      <c r="D17" s="130"/>
      <c r="E17" s="131"/>
      <c r="F17" s="132"/>
      <c r="G17" s="128"/>
      <c r="H17" s="124"/>
      <c r="I17" s="133"/>
      <c r="J17" s="124">
        <f t="shared" si="1"/>
        <v>0</v>
      </c>
    </row>
    <row r="18" spans="1:10" x14ac:dyDescent="0.3">
      <c r="A18" s="4">
        <f t="shared" si="0"/>
        <v>17</v>
      </c>
      <c r="B18" s="84" t="s">
        <v>12</v>
      </c>
      <c r="C18" s="125" t="s">
        <v>131</v>
      </c>
      <c r="D18" s="126" t="s">
        <v>101</v>
      </c>
      <c r="E18" s="131"/>
      <c r="F18" s="127">
        <v>6.25E-2</v>
      </c>
      <c r="G18" s="128"/>
      <c r="H18" s="124"/>
      <c r="I18" s="127"/>
      <c r="J18" s="124">
        <f t="shared" si="1"/>
        <v>0</v>
      </c>
    </row>
    <row r="19" spans="1:10" x14ac:dyDescent="0.3">
      <c r="A19" s="4">
        <f t="shared" si="0"/>
        <v>18</v>
      </c>
      <c r="B19" s="84" t="s">
        <v>13</v>
      </c>
      <c r="C19" s="125" t="s">
        <v>103</v>
      </c>
      <c r="D19" s="126" t="s">
        <v>104</v>
      </c>
      <c r="E19" s="131"/>
      <c r="F19" s="127">
        <v>1.7361111111111108E-2</v>
      </c>
      <c r="G19" s="128"/>
      <c r="H19" s="124"/>
      <c r="I19" s="127"/>
      <c r="J19" s="124">
        <f t="shared" si="1"/>
        <v>0</v>
      </c>
    </row>
    <row r="20" spans="1:10" x14ac:dyDescent="0.3">
      <c r="A20" s="4">
        <f t="shared" si="0"/>
        <v>19</v>
      </c>
      <c r="B20" s="84" t="s">
        <v>14</v>
      </c>
      <c r="C20" s="125" t="s">
        <v>106</v>
      </c>
      <c r="D20" s="126" t="s">
        <v>107</v>
      </c>
      <c r="E20" s="131"/>
      <c r="F20" s="127">
        <v>6.9444444444444441E-3</v>
      </c>
      <c r="G20" s="128"/>
      <c r="H20" s="124"/>
      <c r="I20" s="127"/>
      <c r="J20" s="124">
        <f t="shared" si="1"/>
        <v>0</v>
      </c>
    </row>
    <row r="21" spans="1:10" ht="15" customHeight="1" thickBot="1" x14ac:dyDescent="0.35">
      <c r="A21" s="4">
        <f t="shared" si="0"/>
        <v>20</v>
      </c>
      <c r="B21" s="84" t="s">
        <v>109</v>
      </c>
      <c r="C21" s="125" t="s">
        <v>110</v>
      </c>
      <c r="D21" s="126" t="s">
        <v>111</v>
      </c>
      <c r="E21" s="134"/>
      <c r="F21" s="127">
        <v>2.0833333333333329E-2</v>
      </c>
      <c r="G21" s="134"/>
      <c r="H21" s="135"/>
      <c r="I21" s="127"/>
      <c r="J21" s="124">
        <f t="shared" si="1"/>
        <v>0</v>
      </c>
    </row>
    <row r="22" spans="1:10" ht="15" customHeight="1" thickBot="1" x14ac:dyDescent="0.35">
      <c r="A22" s="12"/>
      <c r="B22" s="12"/>
      <c r="C22" s="12"/>
      <c r="D22" s="12"/>
      <c r="E22" s="54"/>
      <c r="F22" s="64">
        <f>SUM(F2:F21)</f>
        <v>0.28124999999999994</v>
      </c>
      <c r="G22" s="88"/>
      <c r="H22" s="89"/>
      <c r="I22" s="90"/>
      <c r="J22" s="15">
        <f>SUM(J2:J21)</f>
        <v>0.51388888888888884</v>
      </c>
    </row>
  </sheetData>
  <conditionalFormatting sqref="E16:E20">
    <cfRule type="expression" dxfId="10" priority="1">
      <formula>SEARCH("In-Progress", E16)</formula>
    </cfRule>
    <cfRule type="expression" dxfId="9" priority="2">
      <formula>SEARCH("Incomplete", E16)</formula>
    </cfRule>
    <cfRule type="expression" dxfId="8" priority="3">
      <formula>SEARCH("Completed", E16)</formula>
    </cfRule>
  </conditionalFormatting>
  <dataValidations count="1">
    <dataValidation type="list" allowBlank="1" showInputMessage="1" showErrorMessage="1" sqref="E2:E20" xr:uid="{00000000-0002-0000-0C00-000000000000}">
      <formula1>"Completed, Incomplete, In-Progress"</formula1>
    </dataValidation>
  </dataValidation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J61"/>
  <sheetViews>
    <sheetView topLeftCell="A40" workbookViewId="0">
      <selection activeCell="B41" sqref="B41:E60"/>
    </sheetView>
  </sheetViews>
  <sheetFormatPr defaultRowHeight="14.4" x14ac:dyDescent="0.3"/>
  <cols>
    <col min="2" max="2" width="53.109375" customWidth="1"/>
    <col min="3" max="4" width="10.21875" customWidth="1"/>
    <col min="5" max="5" width="12.44140625" bestFit="1" customWidth="1"/>
    <col min="6" max="6" width="10.88671875" bestFit="1" customWidth="1"/>
    <col min="7" max="7" width="12.33203125" customWidth="1"/>
  </cols>
  <sheetData>
    <row r="1" spans="1:7" ht="15" customHeight="1" thickBot="1" x14ac:dyDescent="0.35">
      <c r="A1" s="1" t="s">
        <v>0</v>
      </c>
      <c r="B1" s="2" t="s">
        <v>1</v>
      </c>
      <c r="C1" s="21" t="s">
        <v>2</v>
      </c>
      <c r="D1" s="27" t="s">
        <v>3</v>
      </c>
      <c r="E1" s="27" t="s">
        <v>4</v>
      </c>
      <c r="F1" s="3" t="s">
        <v>5</v>
      </c>
      <c r="G1" s="2" t="s">
        <v>6</v>
      </c>
    </row>
    <row r="2" spans="1:7" x14ac:dyDescent="0.3">
      <c r="A2" s="4">
        <f t="shared" ref="A2:A21" si="0">ROW() - ROW($A$1)</f>
        <v>1</v>
      </c>
      <c r="B2" s="23" t="s">
        <v>7</v>
      </c>
      <c r="C2" s="22"/>
      <c r="D2" s="19"/>
      <c r="E2" s="19">
        <v>1.388888888888889E-2</v>
      </c>
      <c r="F2" s="5">
        <f t="shared" ref="F2:F21" si="1">D2-C2</f>
        <v>0</v>
      </c>
      <c r="G2" s="6"/>
    </row>
    <row r="3" spans="1:7" x14ac:dyDescent="0.3">
      <c r="A3" s="4">
        <f t="shared" si="0"/>
        <v>2</v>
      </c>
      <c r="B3" s="7" t="s">
        <v>8</v>
      </c>
      <c r="C3" s="8"/>
      <c r="D3" s="5"/>
      <c r="E3" s="5">
        <v>1.7361111111111108E-2</v>
      </c>
      <c r="F3" s="5">
        <f t="shared" si="1"/>
        <v>0</v>
      </c>
      <c r="G3" s="6"/>
    </row>
    <row r="4" spans="1:7" x14ac:dyDescent="0.3">
      <c r="A4" s="4">
        <f t="shared" si="0"/>
        <v>3</v>
      </c>
      <c r="B4" s="24" t="s">
        <v>9</v>
      </c>
      <c r="C4" s="8"/>
      <c r="D4" s="5"/>
      <c r="E4" s="5">
        <v>6.9444444444444441E-3</v>
      </c>
      <c r="F4" s="5">
        <f t="shared" si="1"/>
        <v>0</v>
      </c>
      <c r="G4" s="6"/>
    </row>
    <row r="5" spans="1:7" x14ac:dyDescent="0.3">
      <c r="A5" s="4">
        <f t="shared" si="0"/>
        <v>4</v>
      </c>
      <c r="B5" s="7"/>
      <c r="C5" s="8"/>
      <c r="D5" s="5"/>
      <c r="E5" s="5">
        <v>4.1666666666666657E-2</v>
      </c>
      <c r="F5" s="5">
        <f t="shared" si="1"/>
        <v>0</v>
      </c>
      <c r="G5" s="6"/>
    </row>
    <row r="6" spans="1:7" x14ac:dyDescent="0.3">
      <c r="A6" s="4">
        <f t="shared" si="0"/>
        <v>5</v>
      </c>
      <c r="B6" s="117" t="s">
        <v>147</v>
      </c>
      <c r="C6" s="8"/>
      <c r="D6" s="5"/>
      <c r="E6" s="5"/>
      <c r="F6" s="5">
        <f t="shared" si="1"/>
        <v>0</v>
      </c>
      <c r="G6" s="6"/>
    </row>
    <row r="7" spans="1:7" x14ac:dyDescent="0.3">
      <c r="A7" s="4">
        <f t="shared" si="0"/>
        <v>6</v>
      </c>
      <c r="B7" s="25" t="s">
        <v>161</v>
      </c>
      <c r="C7" s="8"/>
      <c r="D7" s="5"/>
      <c r="E7" s="5"/>
      <c r="F7" s="5">
        <f t="shared" si="1"/>
        <v>0</v>
      </c>
      <c r="G7" s="6"/>
    </row>
    <row r="8" spans="1:7" ht="57.6" customHeight="1" x14ac:dyDescent="0.3">
      <c r="A8" s="4">
        <f t="shared" si="0"/>
        <v>7</v>
      </c>
      <c r="B8" s="7" t="s">
        <v>162</v>
      </c>
      <c r="C8" s="8"/>
      <c r="D8" s="5"/>
      <c r="E8" s="5"/>
      <c r="F8" s="8">
        <f t="shared" si="1"/>
        <v>0</v>
      </c>
      <c r="G8" s="6"/>
    </row>
    <row r="9" spans="1:7" x14ac:dyDescent="0.3">
      <c r="A9" s="4">
        <f t="shared" si="0"/>
        <v>8</v>
      </c>
      <c r="B9" s="25" t="s">
        <v>163</v>
      </c>
      <c r="C9" s="8"/>
      <c r="D9" s="5"/>
      <c r="E9" s="5"/>
      <c r="F9" s="5">
        <f t="shared" si="1"/>
        <v>0</v>
      </c>
      <c r="G9" s="6"/>
    </row>
    <row r="10" spans="1:7" x14ac:dyDescent="0.3">
      <c r="A10" s="4">
        <f t="shared" si="0"/>
        <v>9</v>
      </c>
      <c r="B10" s="25" t="s">
        <v>164</v>
      </c>
      <c r="C10" s="8"/>
      <c r="D10" s="5"/>
      <c r="E10" s="5"/>
      <c r="F10" s="5">
        <f t="shared" si="1"/>
        <v>0</v>
      </c>
      <c r="G10" s="6"/>
    </row>
    <row r="11" spans="1:7" x14ac:dyDescent="0.3">
      <c r="A11" s="4">
        <f t="shared" si="0"/>
        <v>10</v>
      </c>
      <c r="B11" s="7"/>
      <c r="C11" s="8"/>
      <c r="D11" s="9"/>
      <c r="E11" s="9"/>
      <c r="F11" s="5">
        <f t="shared" si="1"/>
        <v>0</v>
      </c>
      <c r="G11" s="6"/>
    </row>
    <row r="12" spans="1:7" x14ac:dyDescent="0.3">
      <c r="A12" s="4">
        <f t="shared" si="0"/>
        <v>11</v>
      </c>
      <c r="B12" s="7"/>
      <c r="C12" s="8"/>
      <c r="D12" s="9"/>
      <c r="E12" s="9"/>
      <c r="F12" s="5">
        <f t="shared" si="1"/>
        <v>0</v>
      </c>
      <c r="G12" s="6"/>
    </row>
    <row r="13" spans="1:7" x14ac:dyDescent="0.3">
      <c r="A13" s="4">
        <f t="shared" si="0"/>
        <v>12</v>
      </c>
      <c r="B13" s="7"/>
      <c r="C13" s="8"/>
      <c r="D13" s="9"/>
      <c r="E13" s="9"/>
      <c r="F13" s="5">
        <f t="shared" si="1"/>
        <v>0</v>
      </c>
      <c r="G13" s="6"/>
    </row>
    <row r="14" spans="1:7" x14ac:dyDescent="0.3">
      <c r="A14" s="4">
        <f t="shared" si="0"/>
        <v>13</v>
      </c>
      <c r="B14" s="7"/>
      <c r="C14" s="8"/>
      <c r="D14" s="9"/>
      <c r="E14" s="9"/>
      <c r="F14" s="5">
        <f t="shared" si="1"/>
        <v>0</v>
      </c>
      <c r="G14" s="6"/>
    </row>
    <row r="15" spans="1:7" x14ac:dyDescent="0.3">
      <c r="A15" s="4">
        <f t="shared" si="0"/>
        <v>14</v>
      </c>
      <c r="B15" s="7"/>
      <c r="C15" s="8"/>
      <c r="D15" s="9"/>
      <c r="E15" s="9"/>
      <c r="F15" s="5">
        <f t="shared" si="1"/>
        <v>0</v>
      </c>
      <c r="G15" s="6"/>
    </row>
    <row r="16" spans="1:7" x14ac:dyDescent="0.3">
      <c r="A16" s="4">
        <f t="shared" si="0"/>
        <v>15</v>
      </c>
      <c r="B16" s="7"/>
      <c r="C16" s="8"/>
      <c r="D16" s="9"/>
      <c r="E16" s="9"/>
      <c r="F16" s="5">
        <f t="shared" si="1"/>
        <v>0</v>
      </c>
      <c r="G16" s="6"/>
    </row>
    <row r="17" spans="1:7" x14ac:dyDescent="0.3">
      <c r="A17" s="4">
        <f t="shared" si="0"/>
        <v>16</v>
      </c>
      <c r="B17" s="7"/>
      <c r="C17" s="8"/>
      <c r="D17" s="9"/>
      <c r="E17" s="9"/>
      <c r="F17" s="5">
        <f t="shared" si="1"/>
        <v>0</v>
      </c>
      <c r="G17" s="6"/>
    </row>
    <row r="18" spans="1:7" x14ac:dyDescent="0.3">
      <c r="A18" s="4">
        <f t="shared" si="0"/>
        <v>17</v>
      </c>
      <c r="B18" s="7" t="s">
        <v>11</v>
      </c>
      <c r="C18" s="8"/>
      <c r="D18" s="9"/>
      <c r="E18" s="9"/>
      <c r="F18" s="5">
        <f t="shared" si="1"/>
        <v>0</v>
      </c>
      <c r="G18" s="6"/>
    </row>
    <row r="19" spans="1:7" x14ac:dyDescent="0.3">
      <c r="A19" s="4">
        <f t="shared" si="0"/>
        <v>18</v>
      </c>
      <c r="B19" s="7" t="s">
        <v>12</v>
      </c>
      <c r="C19" s="8"/>
      <c r="D19" s="9"/>
      <c r="E19" s="9"/>
      <c r="F19" s="5">
        <f t="shared" si="1"/>
        <v>0</v>
      </c>
      <c r="G19" s="6"/>
    </row>
    <row r="20" spans="1:7" x14ac:dyDescent="0.3">
      <c r="A20" s="4">
        <f t="shared" si="0"/>
        <v>19</v>
      </c>
      <c r="B20" s="7" t="s">
        <v>13</v>
      </c>
      <c r="C20" s="8"/>
      <c r="D20" s="9"/>
      <c r="E20" s="9"/>
      <c r="F20" s="5">
        <f t="shared" si="1"/>
        <v>0</v>
      </c>
      <c r="G20" s="6"/>
    </row>
    <row r="21" spans="1:7" ht="15" customHeight="1" thickBot="1" x14ac:dyDescent="0.35">
      <c r="A21" s="4">
        <f t="shared" si="0"/>
        <v>20</v>
      </c>
      <c r="B21" s="7" t="s">
        <v>14</v>
      </c>
      <c r="C21" s="10"/>
      <c r="D21" s="11"/>
      <c r="E21" s="9"/>
      <c r="F21" s="5">
        <f t="shared" si="1"/>
        <v>0</v>
      </c>
      <c r="G21" s="6"/>
    </row>
    <row r="22" spans="1:7" ht="15" customHeight="1" thickBot="1" x14ac:dyDescent="0.35">
      <c r="A22" s="12"/>
      <c r="B22" s="13" t="s">
        <v>15</v>
      </c>
      <c r="C22" s="14"/>
      <c r="D22" s="14"/>
      <c r="E22" s="26"/>
      <c r="F22" s="15">
        <f>SUM(F2:F21)</f>
        <v>0</v>
      </c>
      <c r="G22" s="16"/>
    </row>
    <row r="25" spans="1:7" x14ac:dyDescent="0.3">
      <c r="B25" t="s">
        <v>165</v>
      </c>
    </row>
    <row r="26" spans="1:7" x14ac:dyDescent="0.3">
      <c r="B26" t="s">
        <v>166</v>
      </c>
    </row>
    <row r="27" spans="1:7" x14ac:dyDescent="0.3">
      <c r="B27" t="s">
        <v>167</v>
      </c>
    </row>
    <row r="28" spans="1:7" x14ac:dyDescent="0.3">
      <c r="B28" t="s">
        <v>165</v>
      </c>
    </row>
    <row r="29" spans="1:7" x14ac:dyDescent="0.3">
      <c r="B29" t="s">
        <v>168</v>
      </c>
    </row>
    <row r="30" spans="1:7" x14ac:dyDescent="0.3">
      <c r="B30" t="s">
        <v>165</v>
      </c>
    </row>
    <row r="31" spans="1:7" x14ac:dyDescent="0.3">
      <c r="B31" t="s">
        <v>169</v>
      </c>
    </row>
    <row r="32" spans="1:7" x14ac:dyDescent="0.3">
      <c r="B32" t="s">
        <v>170</v>
      </c>
    </row>
    <row r="39" spans="1:10" ht="15" customHeight="1" thickBot="1" x14ac:dyDescent="0.35"/>
    <row r="40" spans="1:10" ht="15" customHeight="1" thickBot="1" x14ac:dyDescent="0.35">
      <c r="A40" s="1" t="s">
        <v>0</v>
      </c>
      <c r="B40" s="79" t="s">
        <v>59</v>
      </c>
      <c r="C40" s="80" t="s">
        <v>60</v>
      </c>
      <c r="D40" s="81" t="s">
        <v>61</v>
      </c>
      <c r="E40" s="53" t="s">
        <v>6</v>
      </c>
      <c r="F40" s="79" t="s">
        <v>16</v>
      </c>
      <c r="G40" s="21" t="s">
        <v>2</v>
      </c>
      <c r="H40" s="56" t="s">
        <v>3</v>
      </c>
      <c r="I40" s="27" t="s">
        <v>4</v>
      </c>
      <c r="J40" s="3" t="s">
        <v>5</v>
      </c>
    </row>
    <row r="41" spans="1:10" x14ac:dyDescent="0.3">
      <c r="A41" s="4">
        <f t="shared" ref="A41:A60" si="2">ROW() - ROW($A$40)</f>
        <v>1</v>
      </c>
      <c r="B41" s="136" t="s">
        <v>7</v>
      </c>
      <c r="C41" s="118" t="s">
        <v>69</v>
      </c>
      <c r="D41" s="119" t="s">
        <v>70</v>
      </c>
      <c r="E41" s="120" t="s">
        <v>18</v>
      </c>
      <c r="F41" s="83">
        <v>1.7361111111111108E-2</v>
      </c>
      <c r="G41" s="22"/>
      <c r="H41" s="58"/>
      <c r="I41" s="83">
        <v>1.388888888888889E-2</v>
      </c>
      <c r="J41" s="5">
        <f t="shared" ref="J41:J60" si="3">H41-G41</f>
        <v>0</v>
      </c>
    </row>
    <row r="42" spans="1:10" x14ac:dyDescent="0.3">
      <c r="A42" s="4">
        <f t="shared" si="2"/>
        <v>2</v>
      </c>
      <c r="B42" s="87" t="s">
        <v>8</v>
      </c>
      <c r="C42" s="125" t="s">
        <v>72</v>
      </c>
      <c r="D42" s="126" t="s">
        <v>73</v>
      </c>
      <c r="E42" s="87" t="s">
        <v>18</v>
      </c>
      <c r="F42" s="85">
        <v>1.388888888888889E-2</v>
      </c>
      <c r="G42" s="8"/>
      <c r="H42" s="5"/>
      <c r="I42" s="85">
        <v>1.388888888888889E-2</v>
      </c>
      <c r="J42" s="5">
        <f t="shared" si="3"/>
        <v>0</v>
      </c>
    </row>
    <row r="43" spans="1:10" x14ac:dyDescent="0.3">
      <c r="A43" s="4">
        <f t="shared" si="2"/>
        <v>3</v>
      </c>
      <c r="B43" s="87" t="s">
        <v>9</v>
      </c>
      <c r="C43" s="125" t="s">
        <v>74</v>
      </c>
      <c r="D43" s="126" t="s">
        <v>75</v>
      </c>
      <c r="E43" s="87" t="s">
        <v>18</v>
      </c>
      <c r="F43" s="85">
        <v>1.041666666666667E-2</v>
      </c>
      <c r="G43" s="8"/>
      <c r="H43" s="5"/>
      <c r="I43" s="85">
        <v>1.041666666666667E-2</v>
      </c>
      <c r="J43" s="5">
        <f t="shared" si="3"/>
        <v>0</v>
      </c>
    </row>
    <row r="44" spans="1:10" x14ac:dyDescent="0.3">
      <c r="A44" s="4">
        <f t="shared" si="2"/>
        <v>4</v>
      </c>
      <c r="B44" s="87" t="s">
        <v>89</v>
      </c>
      <c r="C44" s="125" t="s">
        <v>90</v>
      </c>
      <c r="D44" s="126" t="s">
        <v>91</v>
      </c>
      <c r="E44" s="87"/>
      <c r="F44" s="85">
        <v>1.388888888888889E-2</v>
      </c>
      <c r="G44" s="8"/>
      <c r="H44" s="5"/>
      <c r="I44" s="5"/>
      <c r="J44" s="5">
        <f t="shared" si="3"/>
        <v>0</v>
      </c>
    </row>
    <row r="45" spans="1:10" x14ac:dyDescent="0.3">
      <c r="A45" s="4">
        <f t="shared" si="2"/>
        <v>5</v>
      </c>
      <c r="B45" s="87" t="s">
        <v>93</v>
      </c>
      <c r="C45" s="125" t="s">
        <v>94</v>
      </c>
      <c r="D45" s="126" t="s">
        <v>95</v>
      </c>
      <c r="E45" s="87"/>
      <c r="F45" s="85">
        <v>6.9444444444444441E-3</v>
      </c>
      <c r="G45" s="8"/>
      <c r="H45" s="5"/>
      <c r="I45" s="5"/>
      <c r="J45" s="5">
        <f t="shared" si="3"/>
        <v>0</v>
      </c>
    </row>
    <row r="46" spans="1:10" x14ac:dyDescent="0.3">
      <c r="A46" s="4">
        <f t="shared" si="2"/>
        <v>6</v>
      </c>
      <c r="B46" s="87" t="s">
        <v>96</v>
      </c>
      <c r="C46" s="125" t="s">
        <v>97</v>
      </c>
      <c r="D46" s="126" t="s">
        <v>98</v>
      </c>
      <c r="E46" s="87"/>
      <c r="F46" s="85">
        <v>1.7361111111111108E-2</v>
      </c>
      <c r="G46" s="8"/>
      <c r="H46" s="5"/>
      <c r="I46" s="5"/>
      <c r="J46" s="5">
        <f t="shared" si="3"/>
        <v>0</v>
      </c>
    </row>
    <row r="47" spans="1:10" x14ac:dyDescent="0.3">
      <c r="A47" s="4">
        <f t="shared" si="2"/>
        <v>7</v>
      </c>
      <c r="B47" s="87" t="s">
        <v>132</v>
      </c>
      <c r="C47" s="125" t="s">
        <v>143</v>
      </c>
      <c r="D47" s="126" t="s">
        <v>134</v>
      </c>
      <c r="E47" s="87"/>
      <c r="F47" s="86">
        <v>4.1666666666666657E-2</v>
      </c>
      <c r="G47" s="8"/>
      <c r="H47" s="5"/>
      <c r="I47" s="5"/>
      <c r="J47" s="8">
        <f t="shared" si="3"/>
        <v>0</v>
      </c>
    </row>
    <row r="48" spans="1:10" x14ac:dyDescent="0.3">
      <c r="A48" s="4">
        <f t="shared" si="2"/>
        <v>8</v>
      </c>
      <c r="B48" s="87"/>
      <c r="C48" s="125"/>
      <c r="D48" s="126"/>
      <c r="E48" s="87"/>
      <c r="F48" s="86"/>
      <c r="G48" s="8"/>
      <c r="H48" s="5"/>
      <c r="I48" s="5"/>
      <c r="J48" s="5">
        <f t="shared" si="3"/>
        <v>0</v>
      </c>
    </row>
    <row r="49" spans="1:10" x14ac:dyDescent="0.3">
      <c r="A49" s="4">
        <f t="shared" si="2"/>
        <v>9</v>
      </c>
      <c r="B49" s="87" t="s">
        <v>147</v>
      </c>
      <c r="C49" s="125"/>
      <c r="D49" s="126"/>
      <c r="E49" s="87"/>
      <c r="F49" s="86">
        <v>5.2083333333333343E-2</v>
      </c>
      <c r="G49" s="8"/>
      <c r="H49" s="5"/>
      <c r="I49" s="5"/>
      <c r="J49" s="5">
        <f t="shared" si="3"/>
        <v>0</v>
      </c>
    </row>
    <row r="50" spans="1:10" x14ac:dyDescent="0.3">
      <c r="A50" s="4">
        <f t="shared" si="2"/>
        <v>10</v>
      </c>
      <c r="B50" s="87"/>
      <c r="C50" s="125" t="s">
        <v>87</v>
      </c>
      <c r="D50" s="126" t="s">
        <v>87</v>
      </c>
      <c r="E50" s="87"/>
      <c r="F50" s="86"/>
      <c r="G50" s="8"/>
      <c r="H50" s="5"/>
      <c r="I50" s="85">
        <v>4.1666666666666657E-2</v>
      </c>
      <c r="J50" s="5">
        <f t="shared" si="3"/>
        <v>0</v>
      </c>
    </row>
    <row r="51" spans="1:10" x14ac:dyDescent="0.3">
      <c r="A51" s="4">
        <f t="shared" si="2"/>
        <v>11</v>
      </c>
      <c r="B51" s="130"/>
      <c r="C51" s="130"/>
      <c r="D51" s="130"/>
      <c r="E51" s="87"/>
      <c r="F51" s="86"/>
      <c r="G51" s="8"/>
      <c r="H51" s="5"/>
      <c r="I51" s="85">
        <v>6.25E-2</v>
      </c>
      <c r="J51" s="5">
        <f t="shared" si="3"/>
        <v>0</v>
      </c>
    </row>
    <row r="52" spans="1:10" x14ac:dyDescent="0.3">
      <c r="A52" s="4">
        <f t="shared" si="2"/>
        <v>12</v>
      </c>
      <c r="B52" s="87" t="s">
        <v>86</v>
      </c>
      <c r="C52" s="130"/>
      <c r="D52" s="130"/>
      <c r="E52" s="87"/>
      <c r="F52" s="86"/>
      <c r="G52" s="8"/>
      <c r="H52" s="5"/>
      <c r="I52" s="85">
        <v>1.7361111111111108E-2</v>
      </c>
      <c r="J52" s="5">
        <f t="shared" si="3"/>
        <v>0</v>
      </c>
    </row>
    <row r="53" spans="1:10" x14ac:dyDescent="0.3">
      <c r="A53" s="4">
        <f t="shared" si="2"/>
        <v>13</v>
      </c>
      <c r="B53" s="130"/>
      <c r="C53" s="130"/>
      <c r="D53" s="130"/>
      <c r="E53" s="87"/>
      <c r="F53" s="86"/>
      <c r="G53" s="8"/>
      <c r="H53" s="5"/>
      <c r="I53" s="85">
        <v>6.9444444444444441E-3</v>
      </c>
      <c r="J53" s="5">
        <f t="shared" si="3"/>
        <v>0</v>
      </c>
    </row>
    <row r="54" spans="1:10" x14ac:dyDescent="0.3">
      <c r="A54" s="4">
        <f t="shared" si="2"/>
        <v>14</v>
      </c>
      <c r="B54" s="130"/>
      <c r="C54" s="130"/>
      <c r="D54" s="130"/>
      <c r="E54" s="87"/>
      <c r="F54" s="86"/>
      <c r="G54" s="8"/>
      <c r="H54" s="5"/>
      <c r="I54" s="85">
        <v>2.0833333333333329E-2</v>
      </c>
      <c r="J54" s="5">
        <f t="shared" si="3"/>
        <v>0</v>
      </c>
    </row>
    <row r="55" spans="1:10" x14ac:dyDescent="0.3">
      <c r="A55" s="4">
        <f t="shared" si="2"/>
        <v>15</v>
      </c>
      <c r="B55" s="130"/>
      <c r="C55" s="130"/>
      <c r="D55" s="130"/>
      <c r="E55" s="131"/>
      <c r="F55" s="52"/>
      <c r="G55" s="8"/>
      <c r="H55" s="5"/>
      <c r="I55" s="9"/>
      <c r="J55" s="5">
        <f t="shared" si="3"/>
        <v>0</v>
      </c>
    </row>
    <row r="56" spans="1:10" x14ac:dyDescent="0.3">
      <c r="A56" s="4">
        <f t="shared" si="2"/>
        <v>16</v>
      </c>
      <c r="B56" s="130"/>
      <c r="C56" s="130"/>
      <c r="D56" s="130"/>
      <c r="E56" s="131"/>
      <c r="F56" s="52"/>
      <c r="G56" s="8"/>
      <c r="H56" s="5"/>
      <c r="I56" s="9"/>
      <c r="J56" s="5">
        <f t="shared" si="3"/>
        <v>0</v>
      </c>
    </row>
    <row r="57" spans="1:10" x14ac:dyDescent="0.3">
      <c r="A57" s="4">
        <f t="shared" si="2"/>
        <v>17</v>
      </c>
      <c r="B57" s="87" t="s">
        <v>12</v>
      </c>
      <c r="C57" s="125" t="s">
        <v>131</v>
      </c>
      <c r="D57" s="126" t="s">
        <v>101</v>
      </c>
      <c r="E57" s="131"/>
      <c r="F57" s="85">
        <v>6.25E-2</v>
      </c>
      <c r="G57" s="8"/>
      <c r="H57" s="5"/>
      <c r="I57" s="85"/>
      <c r="J57" s="5">
        <f t="shared" si="3"/>
        <v>0</v>
      </c>
    </row>
    <row r="58" spans="1:10" x14ac:dyDescent="0.3">
      <c r="A58" s="4">
        <f t="shared" si="2"/>
        <v>18</v>
      </c>
      <c r="B58" s="87" t="s">
        <v>13</v>
      </c>
      <c r="C58" s="125" t="s">
        <v>103</v>
      </c>
      <c r="D58" s="126" t="s">
        <v>104</v>
      </c>
      <c r="E58" s="131"/>
      <c r="F58" s="85">
        <v>1.7361111111111108E-2</v>
      </c>
      <c r="G58" s="8"/>
      <c r="H58" s="5"/>
      <c r="I58" s="85"/>
      <c r="J58" s="5">
        <f t="shared" si="3"/>
        <v>0</v>
      </c>
    </row>
    <row r="59" spans="1:10" x14ac:dyDescent="0.3">
      <c r="A59" s="4">
        <f t="shared" si="2"/>
        <v>19</v>
      </c>
      <c r="B59" s="87" t="s">
        <v>14</v>
      </c>
      <c r="C59" s="125" t="s">
        <v>106</v>
      </c>
      <c r="D59" s="126" t="s">
        <v>107</v>
      </c>
      <c r="E59" s="131"/>
      <c r="F59" s="85">
        <v>6.9444444444444441E-3</v>
      </c>
      <c r="G59" s="8"/>
      <c r="H59" s="5"/>
      <c r="I59" s="85"/>
      <c r="J59" s="5">
        <f t="shared" si="3"/>
        <v>0</v>
      </c>
    </row>
    <row r="60" spans="1:10" ht="15" customHeight="1" thickBot="1" x14ac:dyDescent="0.35">
      <c r="A60" s="4">
        <f t="shared" si="2"/>
        <v>20</v>
      </c>
      <c r="B60" s="87" t="s">
        <v>109</v>
      </c>
      <c r="C60" s="125" t="s">
        <v>110</v>
      </c>
      <c r="D60" s="126" t="s">
        <v>111</v>
      </c>
      <c r="E60" s="134"/>
      <c r="F60" s="85">
        <v>2.0833333333333329E-2</v>
      </c>
      <c r="G60" s="10"/>
      <c r="H60" s="11"/>
      <c r="I60" s="85"/>
      <c r="J60" s="5">
        <f t="shared" si="3"/>
        <v>0</v>
      </c>
    </row>
    <row r="61" spans="1:10" ht="15" customHeight="1" thickBot="1" x14ac:dyDescent="0.35">
      <c r="A61" s="12"/>
      <c r="B61" s="12"/>
      <c r="C61" s="12"/>
      <c r="D61" s="12"/>
      <c r="E61" s="54"/>
      <c r="F61" s="64">
        <f>SUM(F41:F60)</f>
        <v>0.28124999999999994</v>
      </c>
      <c r="G61" s="88"/>
      <c r="H61" s="89"/>
      <c r="I61" s="90"/>
      <c r="J61" s="15">
        <f>SUM(J41:J60)</f>
        <v>0</v>
      </c>
    </row>
  </sheetData>
  <conditionalFormatting sqref="E55:E59">
    <cfRule type="expression" dxfId="7" priority="4">
      <formula>SEARCH("In-Progress", E55)</formula>
    </cfRule>
    <cfRule type="expression" dxfId="6" priority="5">
      <formula>SEARCH("Incomplete", E55)</formula>
    </cfRule>
    <cfRule type="expression" dxfId="5" priority="6">
      <formula>SEARCH("Completed", E55)</formula>
    </cfRule>
  </conditionalFormatting>
  <conditionalFormatting sqref="G2:G21">
    <cfRule type="expression" dxfId="4" priority="1">
      <formula>SEARCH("In-Progress", G2)</formula>
    </cfRule>
    <cfRule type="expression" dxfId="3" priority="2">
      <formula>SEARCH("Incomplete", G2)</formula>
    </cfRule>
    <cfRule type="expression" dxfId="2" priority="3">
      <formula>SEARCH("Completed", G2)</formula>
    </cfRule>
  </conditionalFormatting>
  <dataValidations count="1">
    <dataValidation type="list" allowBlank="1" showInputMessage="1" showErrorMessage="1" sqref="E41:E59 G2:G21" xr:uid="{00000000-0002-0000-0D00-000000000000}">
      <formula1>"Completed, Incomplete, In-Progress"</formula1>
    </dataValidation>
  </dataValidation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J66"/>
  <sheetViews>
    <sheetView topLeftCell="A49" workbookViewId="0">
      <selection activeCell="B58" sqref="A54:B66"/>
    </sheetView>
  </sheetViews>
  <sheetFormatPr defaultRowHeight="14.4" x14ac:dyDescent="0.3"/>
  <cols>
    <col min="2" max="2" width="53.109375" customWidth="1"/>
    <col min="3" max="4" width="10.21875" customWidth="1"/>
    <col min="5" max="5" width="12.44140625" bestFit="1" customWidth="1"/>
    <col min="6" max="6" width="10.88671875" bestFit="1" customWidth="1"/>
    <col min="7" max="7" width="12.33203125" customWidth="1"/>
  </cols>
  <sheetData>
    <row r="1" spans="1:7" ht="15" customHeight="1" thickBot="1" x14ac:dyDescent="0.35">
      <c r="A1" s="1" t="s">
        <v>0</v>
      </c>
      <c r="B1" s="2" t="s">
        <v>1</v>
      </c>
      <c r="C1" s="21" t="s">
        <v>2</v>
      </c>
      <c r="D1" s="27" t="s">
        <v>3</v>
      </c>
      <c r="E1" s="27" t="s">
        <v>4</v>
      </c>
      <c r="F1" s="3" t="s">
        <v>5</v>
      </c>
      <c r="G1" s="2" t="s">
        <v>6</v>
      </c>
    </row>
    <row r="2" spans="1:7" x14ac:dyDescent="0.3">
      <c r="A2" s="4">
        <f t="shared" ref="A2:A21" si="0">ROW() - ROW($A$1)</f>
        <v>1</v>
      </c>
      <c r="B2" s="23" t="s">
        <v>7</v>
      </c>
      <c r="C2" s="22"/>
      <c r="D2" s="19"/>
      <c r="E2" s="19">
        <v>1.388888888888889E-2</v>
      </c>
      <c r="F2" s="5">
        <f t="shared" ref="F2:F21" si="1">D2-C2</f>
        <v>0</v>
      </c>
      <c r="G2" s="6"/>
    </row>
    <row r="3" spans="1:7" x14ac:dyDescent="0.3">
      <c r="A3" s="4">
        <f t="shared" si="0"/>
        <v>2</v>
      </c>
      <c r="B3" s="7" t="s">
        <v>8</v>
      </c>
      <c r="C3" s="8"/>
      <c r="D3" s="5"/>
      <c r="E3" s="5">
        <v>1.7361111111111108E-2</v>
      </c>
      <c r="F3" s="5">
        <f t="shared" si="1"/>
        <v>0</v>
      </c>
      <c r="G3" s="6"/>
    </row>
    <row r="4" spans="1:7" x14ac:dyDescent="0.3">
      <c r="A4" s="4">
        <f t="shared" si="0"/>
        <v>3</v>
      </c>
      <c r="B4" s="24" t="s">
        <v>9</v>
      </c>
      <c r="C4" s="8"/>
      <c r="D4" s="5"/>
      <c r="E4" s="5">
        <v>6.9444444444444441E-3</v>
      </c>
      <c r="F4" s="5">
        <f t="shared" si="1"/>
        <v>0</v>
      </c>
      <c r="G4" s="6"/>
    </row>
    <row r="5" spans="1:7" x14ac:dyDescent="0.3">
      <c r="A5" s="4">
        <f t="shared" si="0"/>
        <v>4</v>
      </c>
      <c r="B5" s="7"/>
      <c r="C5" s="8"/>
      <c r="D5" s="5"/>
      <c r="E5" s="5">
        <v>4.1666666666666657E-2</v>
      </c>
      <c r="F5" s="5">
        <f t="shared" si="1"/>
        <v>0</v>
      </c>
      <c r="G5" s="6"/>
    </row>
    <row r="6" spans="1:7" x14ac:dyDescent="0.3">
      <c r="A6" s="4">
        <f t="shared" si="0"/>
        <v>5</v>
      </c>
      <c r="B6" s="7" t="s">
        <v>171</v>
      </c>
      <c r="C6" s="8"/>
      <c r="D6" s="5"/>
      <c r="E6" s="5"/>
      <c r="F6" s="5">
        <f t="shared" si="1"/>
        <v>0</v>
      </c>
      <c r="G6" s="6"/>
    </row>
    <row r="7" spans="1:7" x14ac:dyDescent="0.3">
      <c r="A7" s="4">
        <f t="shared" si="0"/>
        <v>6</v>
      </c>
      <c r="B7" s="117" t="s">
        <v>147</v>
      </c>
      <c r="C7" s="8"/>
      <c r="D7" s="5"/>
      <c r="E7" s="5"/>
      <c r="F7" s="5">
        <f t="shared" si="1"/>
        <v>0</v>
      </c>
      <c r="G7" s="6"/>
    </row>
    <row r="8" spans="1:7" x14ac:dyDescent="0.3">
      <c r="A8" s="4">
        <f t="shared" si="0"/>
        <v>7</v>
      </c>
      <c r="B8" s="25" t="s">
        <v>161</v>
      </c>
      <c r="C8" s="8"/>
      <c r="D8" s="5"/>
      <c r="E8" s="5"/>
      <c r="F8" s="8">
        <f t="shared" si="1"/>
        <v>0</v>
      </c>
      <c r="G8" s="6"/>
    </row>
    <row r="9" spans="1:7" x14ac:dyDescent="0.3">
      <c r="A9" s="4">
        <f t="shared" si="0"/>
        <v>8</v>
      </c>
      <c r="B9" s="7"/>
      <c r="C9" s="8"/>
      <c r="D9" s="5"/>
      <c r="E9" s="5"/>
      <c r="F9" s="5">
        <f t="shared" si="1"/>
        <v>0</v>
      </c>
      <c r="G9" s="6"/>
    </row>
    <row r="10" spans="1:7" ht="57.6" customHeight="1" x14ac:dyDescent="0.3">
      <c r="A10" s="4">
        <f t="shared" si="0"/>
        <v>9</v>
      </c>
      <c r="B10" s="7" t="s">
        <v>162</v>
      </c>
      <c r="C10" s="8"/>
      <c r="D10" s="5"/>
      <c r="E10" s="5"/>
      <c r="F10" s="5">
        <f t="shared" si="1"/>
        <v>0</v>
      </c>
      <c r="G10" s="6"/>
    </row>
    <row r="11" spans="1:7" x14ac:dyDescent="0.3">
      <c r="A11" s="4">
        <f t="shared" si="0"/>
        <v>10</v>
      </c>
      <c r="B11" s="25" t="s">
        <v>163</v>
      </c>
      <c r="C11" s="8"/>
      <c r="D11" s="9"/>
      <c r="E11" s="9"/>
      <c r="F11" s="5">
        <f t="shared" si="1"/>
        <v>0</v>
      </c>
      <c r="G11" s="6"/>
    </row>
    <row r="12" spans="1:7" x14ac:dyDescent="0.3">
      <c r="A12" s="4">
        <f t="shared" si="0"/>
        <v>11</v>
      </c>
      <c r="B12" s="25" t="s">
        <v>164</v>
      </c>
      <c r="C12" s="8"/>
      <c r="D12" s="9"/>
      <c r="E12" s="9"/>
      <c r="F12" s="5">
        <f t="shared" si="1"/>
        <v>0</v>
      </c>
      <c r="G12" s="6"/>
    </row>
    <row r="13" spans="1:7" x14ac:dyDescent="0.3">
      <c r="A13" s="4">
        <f t="shared" si="0"/>
        <v>12</v>
      </c>
      <c r="B13" s="7"/>
      <c r="C13" s="8"/>
      <c r="D13" s="9"/>
      <c r="E13" s="9"/>
      <c r="F13" s="5">
        <f t="shared" si="1"/>
        <v>0</v>
      </c>
      <c r="G13" s="6"/>
    </row>
    <row r="14" spans="1:7" x14ac:dyDescent="0.3">
      <c r="A14" s="4">
        <f t="shared" si="0"/>
        <v>13</v>
      </c>
      <c r="B14" s="7"/>
      <c r="C14" s="8"/>
      <c r="D14" s="9"/>
      <c r="E14" s="9"/>
      <c r="F14" s="5">
        <f t="shared" si="1"/>
        <v>0</v>
      </c>
      <c r="G14" s="6"/>
    </row>
    <row r="15" spans="1:7" x14ac:dyDescent="0.3">
      <c r="A15" s="4">
        <f t="shared" si="0"/>
        <v>14</v>
      </c>
      <c r="B15" s="7"/>
      <c r="C15" s="8"/>
      <c r="D15" s="9"/>
      <c r="E15" s="9"/>
      <c r="F15" s="5">
        <f t="shared" si="1"/>
        <v>0</v>
      </c>
      <c r="G15" s="6"/>
    </row>
    <row r="16" spans="1:7" x14ac:dyDescent="0.3">
      <c r="A16" s="4">
        <f t="shared" si="0"/>
        <v>15</v>
      </c>
      <c r="B16" s="7"/>
      <c r="C16" s="8"/>
      <c r="D16" s="9"/>
      <c r="E16" s="9"/>
      <c r="F16" s="5">
        <f t="shared" si="1"/>
        <v>0</v>
      </c>
      <c r="G16" s="6"/>
    </row>
    <row r="17" spans="1:10" x14ac:dyDescent="0.3">
      <c r="A17" s="4">
        <f t="shared" si="0"/>
        <v>16</v>
      </c>
      <c r="B17" s="7"/>
      <c r="C17" s="8"/>
      <c r="D17" s="9"/>
      <c r="E17" s="9"/>
      <c r="F17" s="5">
        <f t="shared" si="1"/>
        <v>0</v>
      </c>
      <c r="G17" s="6"/>
    </row>
    <row r="18" spans="1:10" x14ac:dyDescent="0.3">
      <c r="A18" s="4">
        <f t="shared" si="0"/>
        <v>17</v>
      </c>
      <c r="B18" s="7" t="s">
        <v>11</v>
      </c>
      <c r="C18" s="8"/>
      <c r="D18" s="9"/>
      <c r="E18" s="9"/>
      <c r="F18" s="5">
        <f t="shared" si="1"/>
        <v>0</v>
      </c>
      <c r="G18" s="6"/>
    </row>
    <row r="19" spans="1:10" x14ac:dyDescent="0.3">
      <c r="A19" s="4">
        <f t="shared" si="0"/>
        <v>18</v>
      </c>
      <c r="B19" s="7" t="s">
        <v>12</v>
      </c>
      <c r="C19" s="8"/>
      <c r="D19" s="9"/>
      <c r="E19" s="9"/>
      <c r="F19" s="5">
        <f t="shared" si="1"/>
        <v>0</v>
      </c>
      <c r="G19" s="6"/>
    </row>
    <row r="20" spans="1:10" x14ac:dyDescent="0.3">
      <c r="A20" s="4">
        <f t="shared" si="0"/>
        <v>19</v>
      </c>
      <c r="B20" s="7" t="s">
        <v>13</v>
      </c>
      <c r="C20" s="8"/>
      <c r="D20" s="9"/>
      <c r="E20" s="9"/>
      <c r="F20" s="5">
        <f t="shared" si="1"/>
        <v>0</v>
      </c>
      <c r="G20" s="6"/>
    </row>
    <row r="21" spans="1:10" ht="15" customHeight="1" thickBot="1" x14ac:dyDescent="0.35">
      <c r="A21" s="4">
        <f t="shared" si="0"/>
        <v>20</v>
      </c>
      <c r="B21" s="7" t="s">
        <v>14</v>
      </c>
      <c r="C21" s="10"/>
      <c r="D21" s="11"/>
      <c r="E21" s="9"/>
      <c r="F21" s="5">
        <f t="shared" si="1"/>
        <v>0</v>
      </c>
      <c r="G21" s="6"/>
    </row>
    <row r="22" spans="1:10" ht="15" customHeight="1" thickBot="1" x14ac:dyDescent="0.35">
      <c r="A22" s="12"/>
      <c r="B22" s="13" t="s">
        <v>15</v>
      </c>
      <c r="C22" s="14"/>
      <c r="D22" s="14"/>
      <c r="E22" s="26"/>
      <c r="F22" s="15">
        <f>SUM(F2:F21)</f>
        <v>0</v>
      </c>
      <c r="G22" s="16"/>
    </row>
    <row r="23" spans="1:10" ht="15" customHeight="1" thickBot="1" x14ac:dyDescent="0.35"/>
    <row r="24" spans="1:10" ht="15" customHeight="1" thickBot="1" x14ac:dyDescent="0.35">
      <c r="A24" s="1" t="s">
        <v>0</v>
      </c>
      <c r="B24" s="35" t="s">
        <v>59</v>
      </c>
      <c r="C24" s="36" t="s">
        <v>60</v>
      </c>
      <c r="D24" s="37" t="s">
        <v>61</v>
      </c>
      <c r="E24" s="53" t="s">
        <v>6</v>
      </c>
      <c r="F24" s="35" t="s">
        <v>16</v>
      </c>
      <c r="G24" s="21" t="s">
        <v>2</v>
      </c>
      <c r="H24" s="56" t="s">
        <v>3</v>
      </c>
      <c r="I24" s="27" t="s">
        <v>4</v>
      </c>
      <c r="J24" s="3" t="s">
        <v>5</v>
      </c>
    </row>
    <row r="25" spans="1:10" x14ac:dyDescent="0.3">
      <c r="A25" s="4">
        <v>1</v>
      </c>
      <c r="B25" s="39" t="s">
        <v>7</v>
      </c>
      <c r="C25" s="40" t="s">
        <v>69</v>
      </c>
      <c r="D25" s="48" t="s">
        <v>70</v>
      </c>
      <c r="E25" s="42" t="s">
        <v>18</v>
      </c>
      <c r="F25" s="50">
        <v>1.7361111111111108E-2</v>
      </c>
      <c r="G25" s="69">
        <v>0.3923611111111111</v>
      </c>
      <c r="H25" s="22"/>
      <c r="I25" s="50">
        <v>1.7361111111111108E-2</v>
      </c>
      <c r="J25" s="5">
        <f t="shared" ref="J25:J44" si="2">H25-G25</f>
        <v>-0.3923611111111111</v>
      </c>
    </row>
    <row r="26" spans="1:10" x14ac:dyDescent="0.3">
      <c r="A26" s="4">
        <v>2</v>
      </c>
      <c r="B26" s="42" t="s">
        <v>8</v>
      </c>
      <c r="C26" s="43" t="s">
        <v>72</v>
      </c>
      <c r="D26" s="49" t="s">
        <v>73</v>
      </c>
      <c r="E26" s="42" t="s">
        <v>18</v>
      </c>
      <c r="F26" s="51">
        <v>1.388888888888889E-2</v>
      </c>
      <c r="G26" s="70"/>
      <c r="H26" s="8">
        <v>0.42291666666666672</v>
      </c>
      <c r="I26" s="51">
        <v>1.388888888888889E-2</v>
      </c>
      <c r="J26" s="5">
        <f t="shared" si="2"/>
        <v>0.42291666666666672</v>
      </c>
    </row>
    <row r="27" spans="1:10" x14ac:dyDescent="0.3">
      <c r="A27" s="4">
        <v>3</v>
      </c>
      <c r="B27" s="42" t="s">
        <v>9</v>
      </c>
      <c r="C27" s="43" t="s">
        <v>74</v>
      </c>
      <c r="D27" s="49" t="s">
        <v>75</v>
      </c>
      <c r="E27" s="42" t="s">
        <v>18</v>
      </c>
      <c r="F27" s="51">
        <v>1.041666666666667E-2</v>
      </c>
      <c r="G27" s="70"/>
      <c r="H27" s="8"/>
      <c r="I27" s="51">
        <v>1.041666666666667E-2</v>
      </c>
      <c r="J27" s="5">
        <f t="shared" si="2"/>
        <v>0</v>
      </c>
    </row>
    <row r="28" spans="1:10" x14ac:dyDescent="0.3">
      <c r="A28" s="4">
        <v>4</v>
      </c>
      <c r="B28" s="42" t="s">
        <v>132</v>
      </c>
      <c r="C28" s="43" t="s">
        <v>133</v>
      </c>
      <c r="D28" s="49" t="s">
        <v>134</v>
      </c>
      <c r="E28" s="42" t="s">
        <v>18</v>
      </c>
      <c r="F28" s="57">
        <v>4.1666666666666657E-2</v>
      </c>
      <c r="G28" s="70">
        <v>0.42708333333333331</v>
      </c>
      <c r="H28" s="8">
        <v>0.44791666666666669</v>
      </c>
      <c r="I28" s="5"/>
      <c r="J28" s="5">
        <f t="shared" si="2"/>
        <v>2.083333333333337E-2</v>
      </c>
    </row>
    <row r="29" spans="1:10" x14ac:dyDescent="0.3">
      <c r="A29" s="4">
        <v>5</v>
      </c>
      <c r="B29" s="42" t="s">
        <v>172</v>
      </c>
      <c r="C29" s="43"/>
      <c r="D29" s="49"/>
      <c r="E29" s="42"/>
      <c r="F29" s="51"/>
      <c r="G29" s="70"/>
      <c r="H29" s="8"/>
      <c r="I29" s="5"/>
      <c r="J29" s="5">
        <f t="shared" si="2"/>
        <v>0</v>
      </c>
    </row>
    <row r="30" spans="1:10" x14ac:dyDescent="0.3">
      <c r="A30" s="4">
        <v>6</v>
      </c>
      <c r="B30" s="42"/>
      <c r="C30" s="43"/>
      <c r="D30" s="49"/>
      <c r="E30" s="42"/>
      <c r="F30" s="51"/>
      <c r="G30" s="70"/>
      <c r="H30" s="8"/>
      <c r="I30" s="5"/>
      <c r="J30" s="5">
        <f t="shared" si="2"/>
        <v>0</v>
      </c>
    </row>
    <row r="31" spans="1:10" x14ac:dyDescent="0.3">
      <c r="A31" s="4">
        <v>7</v>
      </c>
      <c r="B31" s="42"/>
      <c r="C31" s="43"/>
      <c r="D31" s="49"/>
      <c r="E31" s="42"/>
      <c r="F31" s="51"/>
      <c r="G31" s="70"/>
      <c r="H31" s="8"/>
      <c r="I31" s="5"/>
      <c r="J31" s="5">
        <f t="shared" si="2"/>
        <v>0</v>
      </c>
    </row>
    <row r="32" spans="1:10" x14ac:dyDescent="0.3">
      <c r="A32" s="4">
        <v>8</v>
      </c>
      <c r="B32" s="42" t="s">
        <v>86</v>
      </c>
      <c r="C32" s="43"/>
      <c r="D32" s="49"/>
      <c r="E32" s="42" t="s">
        <v>18</v>
      </c>
      <c r="F32" s="57">
        <v>4.1666666666666657E-2</v>
      </c>
      <c r="G32" s="70"/>
      <c r="H32" s="8"/>
      <c r="I32" s="5"/>
      <c r="J32" s="5">
        <f t="shared" si="2"/>
        <v>0</v>
      </c>
    </row>
    <row r="33" spans="1:10" x14ac:dyDescent="0.3">
      <c r="A33" s="4">
        <v>9</v>
      </c>
      <c r="B33" s="42"/>
      <c r="C33" s="43"/>
      <c r="D33" s="49"/>
      <c r="E33" s="42"/>
      <c r="F33" s="51"/>
      <c r="G33" s="70"/>
      <c r="H33" s="8"/>
      <c r="I33" s="51">
        <v>2.0833333333333329E-2</v>
      </c>
      <c r="J33" s="5">
        <f t="shared" si="2"/>
        <v>0</v>
      </c>
    </row>
    <row r="34" spans="1:10" x14ac:dyDescent="0.3">
      <c r="A34" s="4">
        <v>10</v>
      </c>
      <c r="B34" s="42"/>
      <c r="C34" s="43"/>
      <c r="D34" s="49"/>
      <c r="E34" s="42"/>
      <c r="F34" s="51"/>
      <c r="G34" s="70"/>
      <c r="H34" s="8"/>
      <c r="I34" s="9"/>
      <c r="J34" s="5">
        <f t="shared" si="2"/>
        <v>0</v>
      </c>
    </row>
    <row r="35" spans="1:10" x14ac:dyDescent="0.3">
      <c r="A35" s="4">
        <v>11</v>
      </c>
      <c r="B35" s="42"/>
      <c r="C35" s="43"/>
      <c r="D35" s="49"/>
      <c r="E35" s="42"/>
      <c r="F35" s="51"/>
      <c r="G35" s="70"/>
      <c r="H35" s="8"/>
      <c r="I35" s="9"/>
      <c r="J35" s="5">
        <f t="shared" si="2"/>
        <v>0</v>
      </c>
    </row>
    <row r="36" spans="1:10" x14ac:dyDescent="0.3">
      <c r="A36" s="4">
        <v>12</v>
      </c>
      <c r="B36" s="42"/>
      <c r="C36" s="43"/>
      <c r="D36" s="49"/>
      <c r="E36" s="42"/>
      <c r="F36" s="51">
        <v>6.25E-2</v>
      </c>
      <c r="G36" s="70"/>
      <c r="H36" s="8"/>
      <c r="I36" s="51"/>
      <c r="J36" s="5">
        <f t="shared" si="2"/>
        <v>0</v>
      </c>
    </row>
    <row r="37" spans="1:10" x14ac:dyDescent="0.3">
      <c r="A37" s="4">
        <v>13</v>
      </c>
      <c r="B37" s="42"/>
      <c r="C37" s="43"/>
      <c r="D37" s="49"/>
      <c r="E37" s="42"/>
      <c r="F37" s="51">
        <v>1.7361111111111108E-2</v>
      </c>
      <c r="G37" s="70"/>
      <c r="H37" s="8"/>
      <c r="I37" s="51"/>
      <c r="J37" s="5">
        <f t="shared" si="2"/>
        <v>0</v>
      </c>
    </row>
    <row r="38" spans="1:10" x14ac:dyDescent="0.3">
      <c r="A38" s="4">
        <v>14</v>
      </c>
      <c r="B38" s="42" t="s">
        <v>89</v>
      </c>
      <c r="C38" s="43" t="s">
        <v>90</v>
      </c>
      <c r="D38" s="49" t="s">
        <v>91</v>
      </c>
      <c r="E38" s="42" t="s">
        <v>18</v>
      </c>
      <c r="F38" s="51">
        <v>1.388888888888889E-2</v>
      </c>
      <c r="G38" s="70"/>
      <c r="H38" s="8"/>
      <c r="I38" s="51"/>
      <c r="J38" s="5">
        <f t="shared" si="2"/>
        <v>0</v>
      </c>
    </row>
    <row r="39" spans="1:10" x14ac:dyDescent="0.3">
      <c r="A39" s="4">
        <v>15</v>
      </c>
      <c r="B39" s="42" t="s">
        <v>93</v>
      </c>
      <c r="C39" s="43" t="s">
        <v>94</v>
      </c>
      <c r="D39" s="49" t="s">
        <v>95</v>
      </c>
      <c r="E39" s="42" t="s">
        <v>18</v>
      </c>
      <c r="F39" s="51">
        <v>6.9444444444444441E-3</v>
      </c>
      <c r="G39" s="70"/>
      <c r="H39" s="8"/>
      <c r="I39" s="51"/>
      <c r="J39" s="5">
        <f t="shared" si="2"/>
        <v>0</v>
      </c>
    </row>
    <row r="40" spans="1:10" x14ac:dyDescent="0.3">
      <c r="A40" s="4">
        <v>16</v>
      </c>
      <c r="B40" s="42" t="s">
        <v>96</v>
      </c>
      <c r="C40" s="43" t="s">
        <v>97</v>
      </c>
      <c r="D40" s="49" t="s">
        <v>98</v>
      </c>
      <c r="E40" s="42" t="s">
        <v>18</v>
      </c>
      <c r="F40" s="51">
        <v>1.7361111111111108E-2</v>
      </c>
      <c r="G40" s="70"/>
      <c r="H40" s="8"/>
      <c r="I40" s="51"/>
      <c r="J40" s="5">
        <f t="shared" si="2"/>
        <v>0</v>
      </c>
    </row>
    <row r="41" spans="1:10" x14ac:dyDescent="0.3">
      <c r="A41" s="4">
        <v>17</v>
      </c>
      <c r="B41" s="42" t="s">
        <v>12</v>
      </c>
      <c r="C41" s="43" t="s">
        <v>131</v>
      </c>
      <c r="D41" s="49" t="s">
        <v>101</v>
      </c>
      <c r="E41" s="42" t="s">
        <v>18</v>
      </c>
      <c r="F41" s="57"/>
      <c r="G41" s="70"/>
      <c r="H41" s="8"/>
      <c r="I41" s="51"/>
      <c r="J41" s="5">
        <f t="shared" si="2"/>
        <v>0</v>
      </c>
    </row>
    <row r="42" spans="1:10" x14ac:dyDescent="0.3">
      <c r="A42" s="4">
        <v>18</v>
      </c>
      <c r="B42" s="42" t="s">
        <v>13</v>
      </c>
      <c r="C42" s="43" t="s">
        <v>103</v>
      </c>
      <c r="D42" s="49" t="s">
        <v>104</v>
      </c>
      <c r="E42" s="42" t="s">
        <v>18</v>
      </c>
      <c r="F42" s="57"/>
      <c r="G42" s="70"/>
      <c r="H42" s="8"/>
      <c r="I42" s="51"/>
      <c r="J42" s="5">
        <f t="shared" si="2"/>
        <v>0</v>
      </c>
    </row>
    <row r="43" spans="1:10" x14ac:dyDescent="0.3">
      <c r="A43" s="4">
        <v>19</v>
      </c>
      <c r="B43" s="42" t="s">
        <v>14</v>
      </c>
      <c r="C43" s="43" t="s">
        <v>106</v>
      </c>
      <c r="D43" s="49" t="s">
        <v>107</v>
      </c>
      <c r="E43" s="42" t="s">
        <v>18</v>
      </c>
      <c r="F43" s="57"/>
      <c r="G43" s="70"/>
      <c r="H43" s="8"/>
      <c r="I43" s="51"/>
      <c r="J43" s="5">
        <f t="shared" si="2"/>
        <v>0</v>
      </c>
    </row>
    <row r="44" spans="1:10" ht="15" customHeight="1" thickBot="1" x14ac:dyDescent="0.35">
      <c r="A44" s="4">
        <v>20</v>
      </c>
      <c r="B44" s="42" t="s">
        <v>109</v>
      </c>
      <c r="C44" s="43" t="s">
        <v>110</v>
      </c>
      <c r="D44" s="49" t="s">
        <v>111</v>
      </c>
      <c r="E44" s="42" t="s">
        <v>18</v>
      </c>
      <c r="F44" s="57"/>
      <c r="G44" s="71"/>
      <c r="H44" s="10"/>
      <c r="I44" s="51"/>
      <c r="J44" s="5">
        <f t="shared" si="2"/>
        <v>0</v>
      </c>
    </row>
    <row r="45" spans="1:10" ht="15" customHeight="1" thickBot="1" x14ac:dyDescent="0.35">
      <c r="A45" s="12"/>
      <c r="B45" s="12"/>
      <c r="C45" s="12"/>
      <c r="D45" s="12"/>
      <c r="E45" s="54"/>
      <c r="F45" s="64">
        <f>SUM(F25:F37)</f>
        <v>0.2048611111111111</v>
      </c>
      <c r="G45" s="59"/>
      <c r="H45" s="14"/>
      <c r="I45" s="26"/>
      <c r="J45" s="15">
        <f>SUM(J25:J44)</f>
        <v>5.1388888888888984E-2</v>
      </c>
    </row>
    <row r="54" spans="1:2" x14ac:dyDescent="0.3">
      <c r="A54">
        <v>1</v>
      </c>
      <c r="B54" s="39" t="s">
        <v>7</v>
      </c>
    </row>
    <row r="55" spans="1:2" x14ac:dyDescent="0.3">
      <c r="A55">
        <v>2</v>
      </c>
      <c r="B55" s="42" t="s">
        <v>8</v>
      </c>
    </row>
    <row r="56" spans="1:2" x14ac:dyDescent="0.3">
      <c r="A56">
        <v>3</v>
      </c>
      <c r="B56" s="42" t="s">
        <v>9</v>
      </c>
    </row>
    <row r="57" spans="1:2" x14ac:dyDescent="0.3">
      <c r="A57">
        <v>4</v>
      </c>
      <c r="B57" s="42" t="s">
        <v>132</v>
      </c>
    </row>
    <row r="58" spans="1:2" x14ac:dyDescent="0.3">
      <c r="A58">
        <v>5</v>
      </c>
      <c r="B58" s="42" t="s">
        <v>172</v>
      </c>
    </row>
    <row r="59" spans="1:2" x14ac:dyDescent="0.3">
      <c r="A59">
        <v>6</v>
      </c>
      <c r="B59" s="42" t="s">
        <v>86</v>
      </c>
    </row>
    <row r="60" spans="1:2" x14ac:dyDescent="0.3">
      <c r="A60">
        <v>7</v>
      </c>
      <c r="B60" s="42" t="s">
        <v>89</v>
      </c>
    </row>
    <row r="61" spans="1:2" x14ac:dyDescent="0.3">
      <c r="A61">
        <v>8</v>
      </c>
      <c r="B61" s="42" t="s">
        <v>93</v>
      </c>
    </row>
    <row r="62" spans="1:2" x14ac:dyDescent="0.3">
      <c r="A62">
        <v>9</v>
      </c>
      <c r="B62" s="42" t="s">
        <v>96</v>
      </c>
    </row>
    <row r="63" spans="1:2" x14ac:dyDescent="0.3">
      <c r="A63">
        <v>10</v>
      </c>
      <c r="B63" s="42" t="s">
        <v>12</v>
      </c>
    </row>
    <row r="64" spans="1:2" x14ac:dyDescent="0.3">
      <c r="A64">
        <v>11</v>
      </c>
      <c r="B64" s="42" t="s">
        <v>13</v>
      </c>
    </row>
    <row r="65" spans="1:2" x14ac:dyDescent="0.3">
      <c r="A65">
        <v>12</v>
      </c>
      <c r="B65" s="42" t="s">
        <v>14</v>
      </c>
    </row>
    <row r="66" spans="1:2" x14ac:dyDescent="0.3">
      <c r="A66">
        <v>13</v>
      </c>
      <c r="B66" s="42" t="s">
        <v>109</v>
      </c>
    </row>
  </sheetData>
  <dataValidations count="1">
    <dataValidation type="list" allowBlank="1" showInputMessage="1" showErrorMessage="1" sqref="E25:E28 E32:E35 E38:E44" xr:uid="{00000000-0002-0000-0E00-000000000000}">
      <formula1>"Completed, Incomplete, In-Progress"</formula1>
    </dataValidation>
  </dataValidations>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G22"/>
  <sheetViews>
    <sheetView tabSelected="1" workbookViewId="0">
      <selection activeCell="D3" sqref="D3"/>
    </sheetView>
  </sheetViews>
  <sheetFormatPr defaultRowHeight="14.4" x14ac:dyDescent="0.3"/>
  <cols>
    <col min="2" max="2" width="53.109375" customWidth="1"/>
    <col min="3" max="4" width="10.21875" customWidth="1"/>
    <col min="5" max="5" width="12.44140625" bestFit="1" customWidth="1"/>
    <col min="6" max="6" width="10.88671875" bestFit="1" customWidth="1"/>
    <col min="7" max="7" width="12.33203125" customWidth="1"/>
  </cols>
  <sheetData>
    <row r="1" spans="1:7" ht="15" customHeight="1" thickBot="1" x14ac:dyDescent="0.35">
      <c r="A1" s="1" t="s">
        <v>0</v>
      </c>
      <c r="B1" s="2" t="s">
        <v>1</v>
      </c>
      <c r="C1" s="21" t="s">
        <v>2</v>
      </c>
      <c r="D1" s="27" t="s">
        <v>3</v>
      </c>
      <c r="E1" s="27" t="s">
        <v>4</v>
      </c>
      <c r="F1" s="3" t="s">
        <v>5</v>
      </c>
      <c r="G1" s="2" t="s">
        <v>6</v>
      </c>
    </row>
    <row r="2" spans="1:7" x14ac:dyDescent="0.3">
      <c r="A2" s="4">
        <f t="shared" ref="A2:A21" si="0">ROW() - ROW($A$1)</f>
        <v>1</v>
      </c>
      <c r="B2" s="23" t="s">
        <v>7</v>
      </c>
      <c r="C2" s="22">
        <v>0.44097222222222221</v>
      </c>
      <c r="D2" s="19">
        <v>0.4513888888888889</v>
      </c>
      <c r="E2" s="19">
        <v>1.388888888888889E-2</v>
      </c>
      <c r="F2" s="5">
        <f t="shared" ref="F2:F21" si="1">D2-C2</f>
        <v>1.0416666666666685E-2</v>
      </c>
      <c r="G2" s="6"/>
    </row>
    <row r="3" spans="1:7" x14ac:dyDescent="0.3">
      <c r="A3" s="4">
        <f t="shared" si="0"/>
        <v>2</v>
      </c>
      <c r="B3" s="7" t="s">
        <v>8</v>
      </c>
      <c r="C3" s="8">
        <v>0.4513888888888889</v>
      </c>
      <c r="D3" s="5"/>
      <c r="E3" s="5">
        <v>1.7361111111111108E-2</v>
      </c>
      <c r="F3" s="5">
        <f t="shared" si="1"/>
        <v>-0.4513888888888889</v>
      </c>
      <c r="G3" s="6"/>
    </row>
    <row r="4" spans="1:7" x14ac:dyDescent="0.3">
      <c r="A4" s="4">
        <f t="shared" si="0"/>
        <v>3</v>
      </c>
      <c r="B4" s="24" t="s">
        <v>9</v>
      </c>
      <c r="C4" s="8"/>
      <c r="D4" s="5"/>
      <c r="E4" s="5">
        <v>6.9444444444444441E-3</v>
      </c>
      <c r="F4" s="5">
        <f t="shared" si="1"/>
        <v>0</v>
      </c>
      <c r="G4" s="6"/>
    </row>
    <row r="5" spans="1:7" x14ac:dyDescent="0.3">
      <c r="A5" s="4">
        <f t="shared" si="0"/>
        <v>4</v>
      </c>
      <c r="B5" s="7" t="s">
        <v>10</v>
      </c>
      <c r="C5" s="8"/>
      <c r="D5" s="5"/>
      <c r="E5" s="5">
        <v>4.1666666666666657E-2</v>
      </c>
      <c r="F5" s="5">
        <f t="shared" si="1"/>
        <v>0</v>
      </c>
      <c r="G5" s="6"/>
    </row>
    <row r="6" spans="1:7" x14ac:dyDescent="0.3">
      <c r="A6" s="4">
        <f t="shared" si="0"/>
        <v>5</v>
      </c>
      <c r="B6" s="7"/>
      <c r="C6" s="8"/>
      <c r="D6" s="5"/>
      <c r="E6" s="5"/>
      <c r="F6" s="5">
        <f t="shared" si="1"/>
        <v>0</v>
      </c>
      <c r="G6" s="6"/>
    </row>
    <row r="7" spans="1:7" x14ac:dyDescent="0.3">
      <c r="A7" s="4">
        <f t="shared" si="0"/>
        <v>6</v>
      </c>
      <c r="B7" s="7"/>
      <c r="C7" s="8"/>
      <c r="D7" s="5"/>
      <c r="E7" s="5"/>
      <c r="F7" s="5">
        <f t="shared" si="1"/>
        <v>0</v>
      </c>
      <c r="G7" s="6"/>
    </row>
    <row r="8" spans="1:7" x14ac:dyDescent="0.3">
      <c r="A8" s="4">
        <f t="shared" si="0"/>
        <v>7</v>
      </c>
      <c r="B8" s="7"/>
      <c r="C8" s="8"/>
      <c r="D8" s="5"/>
      <c r="E8" s="5"/>
      <c r="F8" s="8">
        <f t="shared" si="1"/>
        <v>0</v>
      </c>
      <c r="G8" s="6"/>
    </row>
    <row r="9" spans="1:7" x14ac:dyDescent="0.3">
      <c r="A9" s="4">
        <f t="shared" si="0"/>
        <v>8</v>
      </c>
      <c r="B9" s="7"/>
      <c r="C9" s="8"/>
      <c r="D9" s="5"/>
      <c r="E9" s="5"/>
      <c r="F9" s="5">
        <f t="shared" si="1"/>
        <v>0</v>
      </c>
      <c r="G9" s="6"/>
    </row>
    <row r="10" spans="1:7" x14ac:dyDescent="0.3">
      <c r="A10" s="4">
        <f t="shared" si="0"/>
        <v>9</v>
      </c>
      <c r="B10" s="7"/>
      <c r="C10" s="8"/>
      <c r="D10" s="5"/>
      <c r="E10" s="5"/>
      <c r="F10" s="5">
        <f t="shared" si="1"/>
        <v>0</v>
      </c>
      <c r="G10" s="6"/>
    </row>
    <row r="11" spans="1:7" x14ac:dyDescent="0.3">
      <c r="A11" s="4">
        <f t="shared" si="0"/>
        <v>10</v>
      </c>
      <c r="B11" s="7"/>
      <c r="C11" s="8"/>
      <c r="D11" s="9"/>
      <c r="E11" s="9"/>
      <c r="F11" s="5">
        <f t="shared" si="1"/>
        <v>0</v>
      </c>
      <c r="G11" s="6"/>
    </row>
    <row r="12" spans="1:7" x14ac:dyDescent="0.3">
      <c r="A12" s="4">
        <f t="shared" si="0"/>
        <v>11</v>
      </c>
      <c r="B12" s="7"/>
      <c r="C12" s="8"/>
      <c r="D12" s="9"/>
      <c r="E12" s="9"/>
      <c r="F12" s="5">
        <f t="shared" si="1"/>
        <v>0</v>
      </c>
      <c r="G12" s="6"/>
    </row>
    <row r="13" spans="1:7" x14ac:dyDescent="0.3">
      <c r="A13" s="4">
        <f t="shared" si="0"/>
        <v>12</v>
      </c>
      <c r="B13" s="7"/>
      <c r="C13" s="8"/>
      <c r="D13" s="9"/>
      <c r="E13" s="9"/>
      <c r="F13" s="5">
        <f t="shared" si="1"/>
        <v>0</v>
      </c>
      <c r="G13" s="6"/>
    </row>
    <row r="14" spans="1:7" x14ac:dyDescent="0.3">
      <c r="A14" s="4">
        <f t="shared" si="0"/>
        <v>13</v>
      </c>
      <c r="B14" s="7"/>
      <c r="C14" s="8"/>
      <c r="D14" s="9"/>
      <c r="E14" s="9"/>
      <c r="F14" s="5">
        <f t="shared" si="1"/>
        <v>0</v>
      </c>
      <c r="G14" s="6"/>
    </row>
    <row r="15" spans="1:7" x14ac:dyDescent="0.3">
      <c r="A15" s="4">
        <f t="shared" si="0"/>
        <v>14</v>
      </c>
      <c r="B15" s="7"/>
      <c r="C15" s="8"/>
      <c r="D15" s="9"/>
      <c r="E15" s="9"/>
      <c r="F15" s="5">
        <f t="shared" si="1"/>
        <v>0</v>
      </c>
      <c r="G15" s="6"/>
    </row>
    <row r="16" spans="1:7" x14ac:dyDescent="0.3">
      <c r="A16" s="4">
        <f t="shared" si="0"/>
        <v>15</v>
      </c>
      <c r="B16" s="7"/>
      <c r="C16" s="8"/>
      <c r="D16" s="9"/>
      <c r="E16" s="9"/>
      <c r="F16" s="5">
        <f t="shared" si="1"/>
        <v>0</v>
      </c>
      <c r="G16" s="6"/>
    </row>
    <row r="17" spans="1:7" x14ac:dyDescent="0.3">
      <c r="A17" s="4">
        <f t="shared" si="0"/>
        <v>16</v>
      </c>
      <c r="B17" s="7"/>
      <c r="C17" s="8"/>
      <c r="D17" s="9"/>
      <c r="E17" s="9"/>
      <c r="F17" s="5">
        <f t="shared" si="1"/>
        <v>0</v>
      </c>
      <c r="G17" s="6"/>
    </row>
    <row r="18" spans="1:7" x14ac:dyDescent="0.3">
      <c r="A18" s="4">
        <f t="shared" si="0"/>
        <v>17</v>
      </c>
      <c r="B18" s="7" t="s">
        <v>11</v>
      </c>
      <c r="C18" s="8"/>
      <c r="D18" s="9"/>
      <c r="E18" s="9"/>
      <c r="F18" s="5">
        <f t="shared" si="1"/>
        <v>0</v>
      </c>
      <c r="G18" s="6"/>
    </row>
    <row r="19" spans="1:7" x14ac:dyDescent="0.3">
      <c r="A19" s="4">
        <f t="shared" si="0"/>
        <v>18</v>
      </c>
      <c r="B19" s="7" t="s">
        <v>12</v>
      </c>
      <c r="C19" s="8"/>
      <c r="D19" s="9"/>
      <c r="E19" s="9"/>
      <c r="F19" s="5">
        <f t="shared" si="1"/>
        <v>0</v>
      </c>
      <c r="G19" s="6"/>
    </row>
    <row r="20" spans="1:7" x14ac:dyDescent="0.3">
      <c r="A20" s="4">
        <f t="shared" si="0"/>
        <v>19</v>
      </c>
      <c r="B20" s="7" t="s">
        <v>13</v>
      </c>
      <c r="C20" s="8"/>
      <c r="D20" s="9"/>
      <c r="E20" s="9"/>
      <c r="F20" s="5">
        <f t="shared" si="1"/>
        <v>0</v>
      </c>
      <c r="G20" s="6"/>
    </row>
    <row r="21" spans="1:7" ht="15" customHeight="1" thickBot="1" x14ac:dyDescent="0.35">
      <c r="A21" s="4">
        <f t="shared" si="0"/>
        <v>20</v>
      </c>
      <c r="B21" s="7" t="s">
        <v>14</v>
      </c>
      <c r="C21" s="10"/>
      <c r="D21" s="11"/>
      <c r="E21" s="9"/>
      <c r="F21" s="5">
        <f t="shared" si="1"/>
        <v>0</v>
      </c>
      <c r="G21" s="6"/>
    </row>
    <row r="22" spans="1:7" ht="15" customHeight="1" thickBot="1" x14ac:dyDescent="0.35">
      <c r="A22" s="12"/>
      <c r="B22" s="13" t="s">
        <v>15</v>
      </c>
      <c r="C22" s="14"/>
      <c r="D22" s="14"/>
      <c r="E22" s="26"/>
      <c r="F22" s="15">
        <f>SUM(F2:F21)</f>
        <v>-0.44097222222222221</v>
      </c>
      <c r="G22" s="16"/>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Q15"/>
  <sheetViews>
    <sheetView workbookViewId="0">
      <selection activeCell="N3" sqref="N3:Q4"/>
    </sheetView>
  </sheetViews>
  <sheetFormatPr defaultColWidth="17.21875" defaultRowHeight="14.4" x14ac:dyDescent="0.3"/>
  <cols>
    <col min="1" max="6" width="16.5546875" customWidth="1"/>
    <col min="14" max="14" width="6.5546875" bestFit="1" customWidth="1"/>
    <col min="15" max="15" width="19.44140625" style="115" customWidth="1"/>
    <col min="16" max="16" width="12" customWidth="1"/>
    <col min="17" max="17" width="15" customWidth="1"/>
  </cols>
  <sheetData>
    <row r="1" spans="1:17" ht="31.8" customHeight="1" thickBot="1" x14ac:dyDescent="0.35">
      <c r="A1" s="31" t="s">
        <v>63</v>
      </c>
      <c r="B1" s="32" t="s">
        <v>64</v>
      </c>
      <c r="C1" s="33" t="s">
        <v>65</v>
      </c>
      <c r="D1" s="32" t="s">
        <v>66</v>
      </c>
      <c r="E1" s="33" t="s">
        <v>67</v>
      </c>
      <c r="F1" s="32" t="s">
        <v>68</v>
      </c>
      <c r="H1" s="91"/>
    </row>
    <row r="2" spans="1:17" ht="16.2" customHeight="1" thickBot="1" x14ac:dyDescent="0.35">
      <c r="A2" s="28">
        <v>0</v>
      </c>
      <c r="B2" s="29">
        <v>0</v>
      </c>
      <c r="C2" s="30">
        <v>0</v>
      </c>
      <c r="D2" s="29" t="s">
        <v>71</v>
      </c>
      <c r="E2" s="30" t="s">
        <v>71</v>
      </c>
      <c r="F2" s="29">
        <v>0</v>
      </c>
      <c r="H2" t="s">
        <v>173</v>
      </c>
    </row>
    <row r="3" spans="1:17" ht="15" customHeight="1" thickBot="1" x14ac:dyDescent="0.35">
      <c r="H3" s="92" t="s">
        <v>174</v>
      </c>
      <c r="I3" s="92" t="s">
        <v>175</v>
      </c>
      <c r="J3" s="92" t="s">
        <v>176</v>
      </c>
      <c r="N3" s="109" t="s">
        <v>177</v>
      </c>
      <c r="O3" s="114" t="s">
        <v>178</v>
      </c>
      <c r="P3" s="110" t="s">
        <v>179</v>
      </c>
      <c r="Q3" s="111" t="s">
        <v>180</v>
      </c>
    </row>
    <row r="4" spans="1:17" ht="15" customHeight="1" thickBot="1" x14ac:dyDescent="0.35">
      <c r="H4" s="92"/>
      <c r="I4" s="92"/>
      <c r="J4" s="92"/>
      <c r="N4" s="112">
        <v>1</v>
      </c>
      <c r="O4" s="116" t="s">
        <v>181</v>
      </c>
      <c r="P4" s="112" t="s">
        <v>182</v>
      </c>
      <c r="Q4" s="113" t="s">
        <v>183</v>
      </c>
    </row>
    <row r="5" spans="1:17" x14ac:dyDescent="0.3">
      <c r="H5" s="92"/>
      <c r="I5" s="92"/>
      <c r="J5" s="92"/>
    </row>
    <row r="6" spans="1:17" ht="15" customHeight="1" thickBot="1" x14ac:dyDescent="0.35">
      <c r="H6" t="s">
        <v>184</v>
      </c>
    </row>
    <row r="7" spans="1:17" ht="15" customHeight="1" thickBot="1" x14ac:dyDescent="0.35">
      <c r="H7" s="96" t="s">
        <v>174</v>
      </c>
      <c r="I7" s="99" t="s">
        <v>185</v>
      </c>
      <c r="J7" s="96" t="s">
        <v>186</v>
      </c>
      <c r="K7" s="99" t="s">
        <v>175</v>
      </c>
      <c r="L7" s="96" t="s">
        <v>176</v>
      </c>
    </row>
    <row r="8" spans="1:17" x14ac:dyDescent="0.3">
      <c r="H8" s="97" t="s">
        <v>187</v>
      </c>
      <c r="I8" s="100" t="s">
        <v>188</v>
      </c>
      <c r="J8" s="97" t="s">
        <v>189</v>
      </c>
      <c r="K8" s="102" t="s">
        <v>190</v>
      </c>
      <c r="L8" s="97" t="s">
        <v>191</v>
      </c>
    </row>
    <row r="9" spans="1:17" ht="15" customHeight="1" thickBot="1" x14ac:dyDescent="0.35">
      <c r="H9" s="98" t="s">
        <v>192</v>
      </c>
      <c r="I9" s="101" t="s">
        <v>193</v>
      </c>
      <c r="J9" s="98" t="s">
        <v>194</v>
      </c>
      <c r="K9" s="103" t="s">
        <v>190</v>
      </c>
      <c r="L9" s="98" t="s">
        <v>191</v>
      </c>
    </row>
    <row r="10" spans="1:17" x14ac:dyDescent="0.3">
      <c r="I10" s="94"/>
      <c r="J10" s="95"/>
    </row>
    <row r="11" spans="1:17" x14ac:dyDescent="0.3">
      <c r="I11" s="93"/>
      <c r="J11" s="92"/>
    </row>
    <row r="13" spans="1:17" ht="15" customHeight="1" thickBot="1" x14ac:dyDescent="0.35"/>
    <row r="14" spans="1:17" ht="15" customHeight="1" thickBot="1" x14ac:dyDescent="0.35">
      <c r="H14" s="104" t="s">
        <v>177</v>
      </c>
      <c r="I14" s="99" t="s">
        <v>178</v>
      </c>
      <c r="J14" s="96" t="s">
        <v>179</v>
      </c>
      <c r="K14" s="107" t="s">
        <v>180</v>
      </c>
    </row>
    <row r="15" spans="1:17" ht="15" customHeight="1" thickBot="1" x14ac:dyDescent="0.35">
      <c r="H15" s="105">
        <v>1</v>
      </c>
      <c r="I15" s="106" t="s">
        <v>181</v>
      </c>
      <c r="J15" s="105" t="s">
        <v>182</v>
      </c>
      <c r="K15" s="108" t="s">
        <v>183</v>
      </c>
    </row>
  </sheetData>
  <conditionalFormatting sqref="H8">
    <cfRule type="duplicateValues" dxfId="1" priority="2"/>
  </conditionalFormatting>
  <conditionalFormatting sqref="H9">
    <cfRule type="duplicateValues" dxfId="0" priority="1"/>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17</vt:i4>
      </vt:variant>
    </vt:vector>
  </HeadingPairs>
  <TitlesOfParts>
    <vt:vector size="17" baseType="lpstr">
      <vt:lpstr>day_month</vt:lpstr>
      <vt:lpstr>4th_November</vt:lpstr>
      <vt:lpstr>5th_November</vt:lpstr>
      <vt:lpstr>6th_November</vt:lpstr>
      <vt:lpstr>7th_November</vt:lpstr>
      <vt:lpstr>8th_November</vt:lpstr>
      <vt:lpstr>9th_November</vt:lpstr>
      <vt:lpstr>11th_November</vt:lpstr>
      <vt:lpstr>12th_November</vt:lpstr>
      <vt:lpstr>13th_November</vt:lpstr>
      <vt:lpstr>14th_November</vt:lpstr>
      <vt:lpstr>15th_November</vt:lpstr>
      <vt:lpstr>18th_November</vt:lpstr>
      <vt:lpstr>19th_November</vt:lpstr>
      <vt:lpstr>21st_November</vt:lpstr>
      <vt:lpstr>25th_November</vt: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Chandrakant Bhalekar</dc:creator>
  <cp:lastModifiedBy>Chandrakant Bhalekar</cp:lastModifiedBy>
  <dcterms:created xsi:type="dcterms:W3CDTF">2015-06-05T18:17:20Z</dcterms:created>
  <dcterms:modified xsi:type="dcterms:W3CDTF">2024-11-25T05:20:26Z</dcterms:modified>
</cp:coreProperties>
</file>