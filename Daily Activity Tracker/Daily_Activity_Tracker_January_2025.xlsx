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chandrakanb\chandrakanb\Daily Activity Tracker\"/>
    </mc:Choice>
  </mc:AlternateContent>
  <xr:revisionPtr revIDLastSave="0" documentId="13_ncr:1_{554FB8FF-7FA9-49BC-BFD2-93F69BDCA5D1}" xr6:coauthVersionLast="47" xr6:coauthVersionMax="47" xr10:uidLastSave="{00000000-0000-0000-0000-000000000000}"/>
  <bookViews>
    <workbookView xWindow="-120" yWindow="-120" windowWidth="29040" windowHeight="15720" firstSheet="21" activeTab="27" xr2:uid="{00000000-000D-0000-FFFF-FFFF00000000}"/>
  </bookViews>
  <sheets>
    <sheet name="day_month" sheetId="1" r:id="rId1"/>
    <sheet name="6th_January" sheetId="2" r:id="rId2"/>
    <sheet name="7th_January" sheetId="3" r:id="rId3"/>
    <sheet name="8th_January" sheetId="4" r:id="rId4"/>
    <sheet name="9th_January" sheetId="5" r:id="rId5"/>
    <sheet name="10th_January" sheetId="6" r:id="rId6"/>
    <sheet name="13th_January" sheetId="7" r:id="rId7"/>
    <sheet name="14th_January" sheetId="8" r:id="rId8"/>
    <sheet name="15th_January" sheetId="9" r:id="rId9"/>
    <sheet name="16th_January" sheetId="10" r:id="rId10"/>
    <sheet name="17th_January" sheetId="11" r:id="rId11"/>
    <sheet name="20th_January" sheetId="12" r:id="rId12"/>
    <sheet name="21st_January" sheetId="13" r:id="rId13"/>
    <sheet name="22nd_January" sheetId="14" r:id="rId14"/>
    <sheet name="24th_January" sheetId="15" r:id="rId15"/>
    <sheet name="23rd_January" sheetId="16" r:id="rId16"/>
    <sheet name="27th_January" sheetId="17" r:id="rId17"/>
    <sheet name="28th_January" sheetId="18" r:id="rId18"/>
    <sheet name="29th_January" sheetId="19" r:id="rId19"/>
    <sheet name="30th_January" sheetId="20" r:id="rId20"/>
    <sheet name="31st_January" sheetId="21" r:id="rId21"/>
    <sheet name="B14&amp;B15" sheetId="22" r:id="rId22"/>
    <sheet name="LogsReport" sheetId="23" r:id="rId23"/>
    <sheet name="Sheet1" sheetId="24" r:id="rId24"/>
    <sheet name="Admin Access" sheetId="25" r:id="rId25"/>
    <sheet name="SundaySanityStatus" sheetId="26" r:id="rId26"/>
    <sheet name="14_Exception_Handle_AZONE_AND_B" sheetId="27" r:id="rId27"/>
    <sheet name="3rd_February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8" l="1"/>
  <c r="A21" i="28"/>
  <c r="F20" i="28"/>
  <c r="A20" i="28"/>
  <c r="F19" i="28"/>
  <c r="A19" i="28"/>
  <c r="F18" i="28"/>
  <c r="A18" i="28"/>
  <c r="F17" i="28"/>
  <c r="A17" i="28"/>
  <c r="F16" i="28"/>
  <c r="A16" i="28"/>
  <c r="F15" i="28"/>
  <c r="A15" i="28"/>
  <c r="F14" i="28"/>
  <c r="A14" i="28"/>
  <c r="F13" i="28"/>
  <c r="A13" i="28"/>
  <c r="F12" i="28"/>
  <c r="A12" i="28"/>
  <c r="F11" i="28"/>
  <c r="A11" i="28"/>
  <c r="F10" i="28"/>
  <c r="A10" i="28"/>
  <c r="F9" i="28"/>
  <c r="A9" i="28"/>
  <c r="F8" i="28"/>
  <c r="A8" i="28"/>
  <c r="F7" i="28"/>
  <c r="A7" i="28"/>
  <c r="F6" i="28"/>
  <c r="A6" i="28"/>
  <c r="F5" i="28"/>
  <c r="A5" i="28"/>
  <c r="F4" i="28"/>
  <c r="A4" i="28"/>
  <c r="F3" i="28"/>
  <c r="A3" i="28"/>
  <c r="F2" i="28"/>
  <c r="F22" i="28" s="1"/>
  <c r="A2" i="28"/>
  <c r="F22" i="21"/>
  <c r="F21" i="21"/>
  <c r="A21" i="21"/>
  <c r="F20" i="21"/>
  <c r="A20" i="21"/>
  <c r="F19" i="21"/>
  <c r="A19" i="21"/>
  <c r="F18" i="21"/>
  <c r="A18" i="21"/>
  <c r="F17" i="21"/>
  <c r="A17" i="21"/>
  <c r="F16" i="21"/>
  <c r="A16" i="21"/>
  <c r="F15" i="21"/>
  <c r="A15" i="21"/>
  <c r="F14" i="21"/>
  <c r="A14" i="21"/>
  <c r="F13" i="21"/>
  <c r="A13" i="21"/>
  <c r="F12" i="21"/>
  <c r="A12" i="21"/>
  <c r="F11" i="21"/>
  <c r="A11" i="21"/>
  <c r="F10" i="21"/>
  <c r="A10" i="21"/>
  <c r="F9" i="21"/>
  <c r="A9" i="21"/>
  <c r="F8" i="21"/>
  <c r="A8" i="21"/>
  <c r="F7" i="21"/>
  <c r="A7" i="21"/>
  <c r="F6" i="21"/>
  <c r="A6" i="21"/>
  <c r="F5" i="21"/>
  <c r="A5" i="21"/>
  <c r="A4" i="21"/>
  <c r="A3" i="21"/>
  <c r="A2" i="21"/>
  <c r="F22" i="20"/>
  <c r="F21" i="20"/>
  <c r="A21" i="20"/>
  <c r="F20" i="20"/>
  <c r="A20" i="20"/>
  <c r="F19" i="20"/>
  <c r="A19" i="20"/>
  <c r="F18" i="20"/>
  <c r="A18" i="20"/>
  <c r="F17" i="20"/>
  <c r="A17" i="20"/>
  <c r="F16" i="20"/>
  <c r="A16" i="20"/>
  <c r="F15" i="20"/>
  <c r="A15" i="20"/>
  <c r="F14" i="20"/>
  <c r="A14" i="20"/>
  <c r="F13" i="20"/>
  <c r="A13" i="20"/>
  <c r="F12" i="20"/>
  <c r="A12" i="20"/>
  <c r="F11" i="20"/>
  <c r="A11" i="20"/>
  <c r="F10" i="20"/>
  <c r="A10" i="20"/>
  <c r="F9" i="20"/>
  <c r="A9" i="20"/>
  <c r="F8" i="20"/>
  <c r="A8" i="20"/>
  <c r="A7" i="20"/>
  <c r="A6" i="20"/>
  <c r="A5" i="20"/>
  <c r="A4" i="20"/>
  <c r="A3" i="20"/>
  <c r="F2" i="20"/>
  <c r="A2" i="20"/>
  <c r="F22" i="19"/>
  <c r="F21" i="19"/>
  <c r="A21" i="19"/>
  <c r="F20" i="19"/>
  <c r="A20" i="19"/>
  <c r="F19" i="19"/>
  <c r="A19" i="19"/>
  <c r="F18" i="19"/>
  <c r="A18" i="19"/>
  <c r="F17" i="19"/>
  <c r="A17" i="19"/>
  <c r="F16" i="19"/>
  <c r="A16" i="19"/>
  <c r="F15" i="19"/>
  <c r="A15" i="19"/>
  <c r="F14" i="19"/>
  <c r="A14" i="19"/>
  <c r="F13" i="19"/>
  <c r="A13" i="19"/>
  <c r="F12" i="19"/>
  <c r="A12" i="19"/>
  <c r="F11" i="19"/>
  <c r="A11" i="19"/>
  <c r="F10" i="19"/>
  <c r="A10" i="19"/>
  <c r="F9" i="19"/>
  <c r="A9" i="19"/>
  <c r="F8" i="19"/>
  <c r="A8" i="19"/>
  <c r="F7" i="19"/>
  <c r="A7" i="19"/>
  <c r="F6" i="19"/>
  <c r="A6" i="19"/>
  <c r="F5" i="19"/>
  <c r="A5" i="19"/>
  <c r="F4" i="19"/>
  <c r="A4" i="19"/>
  <c r="F3" i="19"/>
  <c r="A3" i="19"/>
  <c r="F2" i="19"/>
  <c r="A2" i="19"/>
  <c r="F22" i="18"/>
  <c r="F21" i="18"/>
  <c r="A21" i="18"/>
  <c r="F20" i="18"/>
  <c r="A20" i="18"/>
  <c r="F19" i="18"/>
  <c r="A19" i="18"/>
  <c r="F18" i="18"/>
  <c r="A18" i="18"/>
  <c r="F17" i="18"/>
  <c r="A17" i="18"/>
  <c r="F16" i="18"/>
  <c r="A16" i="18"/>
  <c r="F15" i="18"/>
  <c r="A15" i="18"/>
  <c r="F14" i="18"/>
  <c r="A14" i="18"/>
  <c r="F13" i="18"/>
  <c r="A13" i="18"/>
  <c r="F12" i="18"/>
  <c r="A12" i="18"/>
  <c r="F11" i="18"/>
  <c r="A11" i="18"/>
  <c r="F10" i="18"/>
  <c r="A10" i="18"/>
  <c r="F9" i="18"/>
  <c r="A9" i="18"/>
  <c r="F8" i="18"/>
  <c r="A8" i="18"/>
  <c r="F7" i="18"/>
  <c r="A7" i="18"/>
  <c r="F6" i="18"/>
  <c r="A6" i="18"/>
  <c r="F5" i="18"/>
  <c r="A5" i="18"/>
  <c r="F4" i="18"/>
  <c r="A4" i="18"/>
  <c r="A3" i="18"/>
  <c r="F2" i="18"/>
  <c r="A2" i="18"/>
  <c r="C42" i="17"/>
  <c r="F22" i="17"/>
  <c r="A21" i="17"/>
  <c r="A20" i="17"/>
  <c r="A19" i="17"/>
  <c r="A18" i="17"/>
  <c r="F17" i="17"/>
  <c r="A17" i="17"/>
  <c r="F16" i="17"/>
  <c r="A16" i="17"/>
  <c r="F15" i="17"/>
  <c r="A15" i="17"/>
  <c r="F14" i="17"/>
  <c r="A14" i="17"/>
  <c r="A13" i="17"/>
  <c r="A12" i="17"/>
  <c r="A11" i="17"/>
  <c r="F10" i="17"/>
  <c r="A10" i="17"/>
  <c r="F9" i="17"/>
  <c r="A9" i="17"/>
  <c r="F8" i="17"/>
  <c r="A8" i="17"/>
  <c r="A7" i="17"/>
  <c r="F6" i="17"/>
  <c r="A6" i="17"/>
  <c r="F5" i="17"/>
  <c r="A5" i="17"/>
  <c r="F4" i="17"/>
  <c r="A4" i="17"/>
  <c r="A3" i="17"/>
  <c r="A2" i="17"/>
  <c r="C49" i="16"/>
  <c r="F23" i="16"/>
  <c r="A22" i="16"/>
  <c r="A21" i="16"/>
  <c r="A20" i="16"/>
  <c r="A19" i="16"/>
  <c r="A18" i="16"/>
  <c r="A17" i="16"/>
  <c r="A16" i="16"/>
  <c r="A15" i="16"/>
  <c r="A14" i="16"/>
  <c r="A13" i="16"/>
  <c r="A12" i="16"/>
  <c r="F11" i="16"/>
  <c r="A11" i="16"/>
  <c r="F10" i="16"/>
  <c r="A10" i="16"/>
  <c r="F9" i="16"/>
  <c r="A9" i="16"/>
  <c r="F8" i="16"/>
  <c r="A8" i="16"/>
  <c r="F7" i="16"/>
  <c r="A7" i="16"/>
  <c r="F6" i="16"/>
  <c r="A6" i="16"/>
  <c r="F5" i="16"/>
  <c r="A5" i="16"/>
  <c r="F4" i="16"/>
  <c r="A4" i="16"/>
  <c r="F3" i="16"/>
  <c r="A3" i="16"/>
  <c r="F2" i="16"/>
  <c r="A2" i="16"/>
  <c r="C47" i="15"/>
  <c r="F23" i="15"/>
  <c r="A22" i="15"/>
  <c r="F21" i="15"/>
  <c r="A21" i="15"/>
  <c r="F20" i="15"/>
  <c r="A20" i="15"/>
  <c r="F19" i="15"/>
  <c r="A19" i="15"/>
  <c r="F18" i="15"/>
  <c r="A18" i="15"/>
  <c r="F17" i="15"/>
  <c r="A17" i="15"/>
  <c r="F16" i="15"/>
  <c r="A16" i="15"/>
  <c r="F15" i="15"/>
  <c r="A15" i="15"/>
  <c r="F14" i="15"/>
  <c r="A14" i="15"/>
  <c r="F13" i="15"/>
  <c r="A13" i="15"/>
  <c r="F12" i="15"/>
  <c r="A12" i="15"/>
  <c r="F11" i="15"/>
  <c r="A11" i="15"/>
  <c r="F10" i="15"/>
  <c r="A10" i="15"/>
  <c r="F9" i="15"/>
  <c r="A9" i="15"/>
  <c r="F8" i="15"/>
  <c r="A8" i="15"/>
  <c r="F7" i="15"/>
  <c r="A7" i="15"/>
  <c r="F6" i="15"/>
  <c r="A6" i="15"/>
  <c r="F5" i="15"/>
  <c r="A5" i="15"/>
  <c r="F4" i="15"/>
  <c r="A4" i="15"/>
  <c r="F3" i="15"/>
  <c r="A3" i="15"/>
  <c r="F2" i="15"/>
  <c r="A2" i="15"/>
  <c r="F22" i="14"/>
  <c r="A21" i="14"/>
  <c r="A20" i="14"/>
  <c r="A19" i="14"/>
  <c r="A18" i="14"/>
  <c r="A17" i="14"/>
  <c r="A16" i="14"/>
  <c r="F15" i="14"/>
  <c r="A15" i="14"/>
  <c r="F14" i="14"/>
  <c r="A14" i="14"/>
  <c r="F13" i="14"/>
  <c r="A13" i="14"/>
  <c r="F12" i="14"/>
  <c r="A12" i="14"/>
  <c r="F11" i="14"/>
  <c r="A11" i="14"/>
  <c r="F10" i="14"/>
  <c r="A10" i="14"/>
  <c r="F9" i="14"/>
  <c r="A9" i="14"/>
  <c r="F8" i="14"/>
  <c r="A8" i="14"/>
  <c r="F7" i="14"/>
  <c r="A7" i="14"/>
  <c r="F6" i="14"/>
  <c r="A6" i="14"/>
  <c r="F5" i="14"/>
  <c r="A5" i="14"/>
  <c r="F4" i="14"/>
  <c r="A4" i="14"/>
  <c r="F3" i="14"/>
  <c r="A3" i="14"/>
  <c r="F2" i="14"/>
  <c r="A2" i="14"/>
  <c r="C46" i="13"/>
  <c r="F22" i="13"/>
  <c r="A21" i="13"/>
  <c r="A20" i="13"/>
  <c r="A19" i="13"/>
  <c r="A18" i="13"/>
  <c r="A17" i="13"/>
  <c r="F16" i="13"/>
  <c r="A16" i="13"/>
  <c r="F15" i="13"/>
  <c r="A15" i="13"/>
  <c r="F14" i="13"/>
  <c r="A14" i="13"/>
  <c r="F13" i="13"/>
  <c r="A13" i="13"/>
  <c r="F12" i="13"/>
  <c r="A12" i="13"/>
  <c r="F11" i="13"/>
  <c r="A11" i="13"/>
  <c r="F10" i="13"/>
  <c r="A10" i="13"/>
  <c r="F9" i="13"/>
  <c r="A9" i="13"/>
  <c r="F8" i="13"/>
  <c r="A8" i="13"/>
  <c r="F7" i="13"/>
  <c r="A7" i="13"/>
  <c r="F6" i="13"/>
  <c r="A6" i="13"/>
  <c r="F5" i="13"/>
  <c r="A5" i="13"/>
  <c r="F4" i="13"/>
  <c r="A4" i="13"/>
  <c r="F3" i="13"/>
  <c r="A3" i="13"/>
  <c r="F2" i="13"/>
  <c r="A2" i="13"/>
  <c r="C63" i="12"/>
  <c r="E40" i="12"/>
  <c r="A39" i="12"/>
  <c r="A38" i="12"/>
  <c r="A37" i="12"/>
  <c r="A36" i="12"/>
  <c r="E35" i="12"/>
  <c r="A35" i="12"/>
  <c r="E34" i="12"/>
  <c r="A34" i="12"/>
  <c r="E33" i="12"/>
  <c r="A33" i="12"/>
  <c r="E32" i="12"/>
  <c r="A32" i="12"/>
  <c r="E31" i="12"/>
  <c r="A31" i="12"/>
  <c r="E30" i="12"/>
  <c r="A30" i="12"/>
  <c r="E29" i="12"/>
  <c r="A29" i="12"/>
  <c r="E28" i="12"/>
  <c r="A28" i="12"/>
  <c r="E27" i="12"/>
  <c r="A27" i="12"/>
  <c r="E26" i="12"/>
  <c r="A26" i="12"/>
  <c r="E25" i="12"/>
  <c r="A25" i="12"/>
  <c r="E24" i="12"/>
  <c r="A24" i="12"/>
  <c r="E23" i="12"/>
  <c r="A23" i="12"/>
  <c r="E22" i="12"/>
  <c r="A22" i="12"/>
  <c r="A21" i="12"/>
  <c r="E20" i="12"/>
  <c r="A20" i="12"/>
  <c r="E19" i="12"/>
  <c r="A19" i="12"/>
  <c r="A18" i="12"/>
  <c r="E17" i="12"/>
  <c r="A17" i="12"/>
  <c r="A16" i="12"/>
  <c r="A15" i="12"/>
  <c r="A14" i="12"/>
  <c r="A13" i="12"/>
  <c r="A12" i="12"/>
  <c r="A11" i="12"/>
  <c r="A10" i="12"/>
  <c r="E9" i="12"/>
  <c r="A9" i="12"/>
  <c r="A8" i="12"/>
  <c r="A7" i="12"/>
  <c r="A6" i="12"/>
  <c r="A5" i="12"/>
  <c r="A4" i="12"/>
  <c r="A3" i="12"/>
  <c r="A2" i="12"/>
  <c r="F22" i="11"/>
  <c r="A21" i="11"/>
  <c r="A20" i="11"/>
  <c r="A19" i="11"/>
  <c r="A18" i="11"/>
  <c r="F17" i="11"/>
  <c r="A17" i="11"/>
  <c r="F16" i="11"/>
  <c r="A16" i="11"/>
  <c r="F15" i="11"/>
  <c r="A15" i="11"/>
  <c r="F14" i="11"/>
  <c r="A14" i="11"/>
  <c r="F13" i="11"/>
  <c r="A13" i="11"/>
  <c r="F12" i="11"/>
  <c r="A12" i="11"/>
  <c r="F11" i="11"/>
  <c r="A11" i="11"/>
  <c r="F10" i="11"/>
  <c r="A10" i="11"/>
  <c r="F9" i="11"/>
  <c r="A9" i="11"/>
  <c r="F8" i="11"/>
  <c r="A8" i="11"/>
  <c r="F7" i="11"/>
  <c r="A7" i="11"/>
  <c r="F6" i="11"/>
  <c r="A6" i="11"/>
  <c r="F5" i="11"/>
  <c r="A5" i="11"/>
  <c r="F4" i="11"/>
  <c r="A4" i="11"/>
  <c r="F3" i="11"/>
  <c r="A3" i="11"/>
  <c r="F2" i="11"/>
  <c r="A2" i="11"/>
  <c r="F22" i="10"/>
  <c r="A21" i="10"/>
  <c r="A20" i="10"/>
  <c r="A19" i="10"/>
  <c r="A18" i="10"/>
  <c r="A17" i="10"/>
  <c r="F16" i="10"/>
  <c r="A16" i="10"/>
  <c r="F15" i="10"/>
  <c r="A15" i="10"/>
  <c r="F14" i="10"/>
  <c r="A14" i="10"/>
  <c r="F13" i="10"/>
  <c r="A13" i="10"/>
  <c r="F12" i="10"/>
  <c r="A12" i="10"/>
  <c r="F11" i="10"/>
  <c r="A11" i="10"/>
  <c r="F10" i="10"/>
  <c r="A10" i="10"/>
  <c r="F9" i="10"/>
  <c r="A9" i="10"/>
  <c r="A8" i="10"/>
  <c r="A7" i="10"/>
  <c r="A6" i="10"/>
  <c r="A5" i="10"/>
  <c r="F4" i="10"/>
  <c r="A4" i="10"/>
  <c r="F3" i="10"/>
  <c r="A3" i="10"/>
  <c r="F2" i="10"/>
  <c r="A2" i="10"/>
  <c r="C37" i="9"/>
  <c r="F22" i="9"/>
  <c r="A21" i="9"/>
  <c r="A20" i="9"/>
  <c r="A19" i="9"/>
  <c r="A18" i="9"/>
  <c r="F17" i="9"/>
  <c r="A17" i="9"/>
  <c r="F16" i="9"/>
  <c r="A16" i="9"/>
  <c r="F15" i="9"/>
  <c r="A15" i="9"/>
  <c r="F14" i="9"/>
  <c r="A14" i="9"/>
  <c r="F13" i="9"/>
  <c r="A13" i="9"/>
  <c r="F12" i="9"/>
  <c r="A12" i="9"/>
  <c r="F11" i="9"/>
  <c r="A11" i="9"/>
  <c r="F10" i="9"/>
  <c r="A10" i="9"/>
  <c r="F9" i="9"/>
  <c r="A9" i="9"/>
  <c r="A8" i="9"/>
  <c r="A7" i="9"/>
  <c r="A6" i="9"/>
  <c r="F5" i="9"/>
  <c r="A5" i="9"/>
  <c r="F4" i="9"/>
  <c r="A4" i="9"/>
  <c r="F3" i="9"/>
  <c r="A3" i="9"/>
  <c r="F2" i="9"/>
  <c r="A2" i="9"/>
  <c r="C38" i="8"/>
  <c r="F22" i="8"/>
  <c r="F21" i="8"/>
  <c r="A21" i="8"/>
  <c r="F20" i="8"/>
  <c r="A20" i="8"/>
  <c r="F19" i="8"/>
  <c r="A19" i="8"/>
  <c r="F18" i="8"/>
  <c r="A18" i="8"/>
  <c r="F17" i="8"/>
  <c r="A17" i="8"/>
  <c r="F16" i="8"/>
  <c r="A16" i="8"/>
  <c r="F15" i="8"/>
  <c r="A15" i="8"/>
  <c r="F14" i="8"/>
  <c r="A14" i="8"/>
  <c r="F13" i="8"/>
  <c r="A13" i="8"/>
  <c r="F12" i="8"/>
  <c r="A12" i="8"/>
  <c r="F11" i="8"/>
  <c r="A11" i="8"/>
  <c r="F28" i="7"/>
  <c r="A27" i="7"/>
  <c r="A26" i="7"/>
  <c r="A25" i="7"/>
  <c r="A24" i="7"/>
  <c r="A23" i="7"/>
  <c r="F22" i="7"/>
  <c r="A22" i="7"/>
  <c r="F21" i="7"/>
  <c r="A21" i="7"/>
  <c r="F20" i="7"/>
  <c r="A20" i="7"/>
  <c r="F19" i="7"/>
  <c r="A19" i="7"/>
  <c r="F18" i="7"/>
  <c r="A18" i="7"/>
  <c r="F17" i="7"/>
  <c r="A17" i="7"/>
  <c r="F16" i="7"/>
  <c r="A16" i="7"/>
  <c r="F15" i="7"/>
  <c r="A15" i="7"/>
  <c r="F14" i="7"/>
  <c r="A14" i="7"/>
  <c r="F13" i="7"/>
  <c r="A13" i="7"/>
  <c r="F12" i="7"/>
  <c r="A12" i="7"/>
  <c r="F11" i="7"/>
  <c r="A11" i="7"/>
  <c r="F10" i="7"/>
  <c r="A10" i="7"/>
  <c r="A9" i="7"/>
  <c r="F8" i="7"/>
  <c r="A8" i="7"/>
  <c r="F7" i="7"/>
  <c r="A7" i="7"/>
  <c r="F6" i="7"/>
  <c r="A6" i="7"/>
  <c r="F5" i="7"/>
  <c r="A5" i="7"/>
  <c r="F4" i="7"/>
  <c r="A4" i="7"/>
  <c r="F3" i="7"/>
  <c r="A3" i="7"/>
  <c r="F2" i="7"/>
  <c r="A2" i="7"/>
  <c r="C46" i="6"/>
  <c r="F22" i="6"/>
  <c r="F21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F8" i="6"/>
  <c r="A8" i="6"/>
  <c r="F7" i="6"/>
  <c r="A7" i="6"/>
  <c r="F6" i="6"/>
  <c r="A6" i="6"/>
  <c r="F5" i="6"/>
  <c r="A5" i="6"/>
  <c r="F4" i="6"/>
  <c r="A4" i="6"/>
  <c r="F3" i="6"/>
  <c r="A3" i="6"/>
  <c r="F2" i="6"/>
  <c r="A2" i="6"/>
  <c r="F22" i="5"/>
  <c r="F21" i="5"/>
  <c r="A21" i="5"/>
  <c r="F20" i="5"/>
  <c r="A20" i="5"/>
  <c r="F19" i="5"/>
  <c r="A19" i="5"/>
  <c r="F18" i="5"/>
  <c r="A18" i="5"/>
  <c r="F17" i="5"/>
  <c r="A17" i="5"/>
  <c r="F16" i="5"/>
  <c r="A16" i="5"/>
  <c r="F15" i="5"/>
  <c r="A15" i="5"/>
  <c r="F14" i="5"/>
  <c r="A14" i="5"/>
  <c r="F13" i="5"/>
  <c r="A13" i="5"/>
  <c r="F12" i="5"/>
  <c r="A12" i="5"/>
  <c r="F11" i="5"/>
  <c r="A11" i="5"/>
  <c r="F10" i="5"/>
  <c r="A10" i="5"/>
  <c r="F9" i="5"/>
  <c r="A9" i="5"/>
  <c r="F8" i="5"/>
  <c r="A8" i="5"/>
  <c r="F7" i="5"/>
  <c r="A7" i="5"/>
  <c r="F6" i="5"/>
  <c r="A6" i="5"/>
  <c r="F5" i="5"/>
  <c r="A5" i="5"/>
  <c r="F4" i="5"/>
  <c r="A4" i="5"/>
  <c r="F3" i="5"/>
  <c r="A3" i="5"/>
  <c r="F2" i="5"/>
  <c r="A2" i="5"/>
  <c r="C47" i="4"/>
  <c r="F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C37" i="3"/>
  <c r="F22" i="3"/>
  <c r="F21" i="3"/>
  <c r="A21" i="3"/>
  <c r="F20" i="3"/>
  <c r="A20" i="3"/>
  <c r="F19" i="3"/>
  <c r="A19" i="3"/>
  <c r="F18" i="3"/>
  <c r="A18" i="3"/>
  <c r="F17" i="3"/>
  <c r="A17" i="3"/>
  <c r="F16" i="3"/>
  <c r="A16" i="3"/>
  <c r="F15" i="3"/>
  <c r="A15" i="3"/>
  <c r="F14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F22" i="2"/>
  <c r="F21" i="2"/>
  <c r="A21" i="2"/>
  <c r="F20" i="2"/>
  <c r="A20" i="2"/>
  <c r="F19" i="2"/>
  <c r="A19" i="2"/>
  <c r="F18" i="2"/>
  <c r="A18" i="2"/>
  <c r="F17" i="2"/>
  <c r="A17" i="2"/>
  <c r="F16" i="2"/>
  <c r="A16" i="2"/>
  <c r="F15" i="2"/>
  <c r="A15" i="2"/>
  <c r="F14" i="2"/>
  <c r="A14" i="2"/>
  <c r="F13" i="2"/>
  <c r="A13" i="2"/>
  <c r="F12" i="2"/>
  <c r="A12" i="2"/>
  <c r="F11" i="2"/>
  <c r="A11" i="2"/>
  <c r="F10" i="2"/>
  <c r="A10" i="2"/>
  <c r="F9" i="2"/>
  <c r="A9" i="2"/>
  <c r="F8" i="2"/>
  <c r="A8" i="2"/>
  <c r="A7" i="2"/>
  <c r="A6" i="2"/>
  <c r="A5" i="2"/>
  <c r="A4" i="2"/>
  <c r="A3" i="2"/>
  <c r="F2" i="2"/>
  <c r="A2" i="2"/>
  <c r="F22" i="1"/>
  <c r="F21" i="1"/>
  <c r="A21" i="1"/>
  <c r="F20" i="1"/>
  <c r="A20" i="1"/>
  <c r="F19" i="1"/>
  <c r="A19" i="1"/>
  <c r="F18" i="1"/>
  <c r="A18" i="1"/>
  <c r="F17" i="1"/>
  <c r="A17" i="1"/>
  <c r="F16" i="1"/>
  <c r="A16" i="1"/>
  <c r="F15" i="1"/>
  <c r="A15" i="1"/>
  <c r="F14" i="1"/>
  <c r="A14" i="1"/>
  <c r="F13" i="1"/>
  <c r="A13" i="1"/>
  <c r="F12" i="1"/>
  <c r="A12" i="1"/>
  <c r="F11" i="1"/>
  <c r="A11" i="1"/>
  <c r="F10" i="1"/>
  <c r="A10" i="1"/>
  <c r="F9" i="1"/>
  <c r="A9" i="1"/>
  <c r="F8" i="1"/>
  <c r="A8" i="1"/>
  <c r="F7" i="1"/>
  <c r="A7" i="1"/>
  <c r="F6" i="1"/>
  <c r="A6" i="1"/>
  <c r="F5" i="1"/>
  <c r="A5" i="1"/>
  <c r="F4" i="1"/>
  <c r="A4" i="1"/>
  <c r="F3" i="1"/>
  <c r="A3" i="1"/>
  <c r="F2" i="1"/>
  <c r="A2" i="1"/>
</calcChain>
</file>

<file path=xl/sharedStrings.xml><?xml version="1.0" encoding="utf-8"?>
<sst xmlns="http://schemas.openxmlformats.org/spreadsheetml/2006/main" count="1334" uniqueCount="479">
  <si>
    <t xml:space="preserve">Sr.No. </t>
  </si>
  <si>
    <t>Activity</t>
  </si>
  <si>
    <t>Start Time</t>
  </si>
  <si>
    <t>End Time</t>
  </si>
  <si>
    <t>Planned Time</t>
  </si>
  <si>
    <t>Actual Time</t>
  </si>
  <si>
    <t xml:space="preserve">Status </t>
  </si>
  <si>
    <t>Published the Overnight Execution Reports of Bench 07.</t>
  </si>
  <si>
    <t>*Build number, SysUcom Version, CAN Whitelist and CID Version</t>
  </si>
  <si>
    <t>Overnight Execution Analysis of Bench 07.</t>
  </si>
  <si>
    <t>Auto-Flashing Analysis on Bench 07.</t>
  </si>
  <si>
    <t>Attended meeting</t>
  </si>
  <si>
    <t>Taken git pull/push on Bench 07.</t>
  </si>
  <si>
    <t>Performed Sanity on Bench 07.</t>
  </si>
  <si>
    <t>Checked missing resource popup on Bench 07.</t>
  </si>
  <si>
    <t>Connected Bench 07 to Jenkins Pipeline.</t>
  </si>
  <si>
    <t>Total</t>
  </si>
  <si>
    <t>Sr. No.</t>
  </si>
  <si>
    <t>Details</t>
  </si>
  <si>
    <t>Attended Meeting</t>
  </si>
  <si>
    <t>Joined 30 minutes late due to being stuck in traffic.</t>
  </si>
  <si>
    <t>Vehicle Simulator Scripts Feasibility</t>
  </si>
  <si>
    <t>No. of Vehicle Simulator Scripts: 17 Test Scripts.
Outcome: Identified TS that can be created using the current setup of the Vector CANoe tool.
CAN data(Signals and their values) consolidated in the same sheet.</t>
  </si>
  <si>
    <t>Worked on python file for qfil flashing</t>
  </si>
  <si>
    <t>Worked on Python File for QFIL Flashing</t>
  </si>
  <si>
    <t>Modified and tested a Python file for flashing the UFS build remotely.
Yes, I have created half script earlier and modifications were made.
Will attach the file in a zip folder.</t>
  </si>
  <si>
    <t>Prepared data for FCP flashing</t>
  </si>
  <si>
    <t>Prepared Sheet for FCP Flashing</t>
  </si>
  <si>
    <t>No. of FCP Flashing Commands: 226 FCPs.
Created and consolidated the data into a sheet for these FCP flashing commands.
Will attach the file in a zip folder.</t>
  </si>
  <si>
    <t>Worked on python file for FCP flashing</t>
  </si>
  <si>
    <t>Worked on Python File for FCP Flashing</t>
  </si>
  <si>
    <t>Created a Python file for FCP switching.
Tested the Python file for FCP flashing with different FCP switching commands.
Will attach the file in a zip folder.</t>
  </si>
  <si>
    <t>Lunch</t>
  </si>
  <si>
    <t>Time</t>
  </si>
  <si>
    <t>Lunch &amp; Break</t>
  </si>
  <si>
    <t>1. Attended Meeting (1:00)</t>
  </si>
  <si>
    <t>Joined 30 minutes late due to unexpected delays.</t>
  </si>
  <si>
    <t>&gt;&gt; You have joined 30 minutes late yesterday</t>
  </si>
  <si>
    <t>2. Vehicle Simulator Scripts Feasibility (2:30)</t>
  </si>
  <si>
    <t>&gt;&gt; Mohan please detail segregation for Vehicle Simulator Scripts</t>
  </si>
  <si>
    <t>What was the outcome for this activity</t>
  </si>
  <si>
    <t>The task involved analyzing existing scripts for feasibility with the vehicle simulator.</t>
  </si>
  <si>
    <t>Outcome: Identified scripts requiring updates for compatibility.</t>
  </si>
  <si>
    <t>&gt;&gt; Which python file you have worked for 1 hour.</t>
  </si>
  <si>
    <t>Mohan will provide a detailed segregation and summary shortly.</t>
  </si>
  <si>
    <t>Mohan please share me the script I need to go through.</t>
  </si>
  <si>
    <t>Please clearly mention what you have done on python file.</t>
  </si>
  <si>
    <t>3. Worked on Python File for QFIL Flashing (1:00)</t>
  </si>
  <si>
    <t>Have you created new python file?</t>
  </si>
  <si>
    <t>Updated an existing script to include functionality for automating QFIL flashing.</t>
  </si>
  <si>
    <t>&gt;&gt; Mohan please share me the details of this task and why it took 2hours. Please share me the script to go through.</t>
  </si>
  <si>
    <t>Changes: Enhanced error handling and added support for new file formats.</t>
  </si>
  <si>
    <t>Mohan will share the script for your review.</t>
  </si>
  <si>
    <t>&gt;&gt; Mohan please share me the details of this task</t>
  </si>
  <si>
    <t>4. Prepared Data for FCP Flashing (2:00)</t>
  </si>
  <si>
    <t>Collected and formatted the data required for flashing via FCP.</t>
  </si>
  <si>
    <t>Mohan will share the details and the associated script for review.</t>
  </si>
  <si>
    <t>5. Worked on Python File for FCP Flashing (1:00)</t>
  </si>
  <si>
    <t>Developed logic for automating specific steps in the FCP flashing process.</t>
  </si>
  <si>
    <t>Mohan will provide further details on the updates made.</t>
  </si>
  <si>
    <t>Joined 30 minutes late due to stuck in traffic.</t>
  </si>
  <si>
    <t>6. Lunch &amp; Break (1:30)</t>
  </si>
  <si>
    <t>Utilized as per the schedule.</t>
  </si>
  <si>
    <t>Vehicle Simulator Scripts: 17 TS</t>
  </si>
  <si>
    <t>outcome for this activity: the TS are segregated that can be created on our cuurent setup of vector canoe tool, and the Can data is also  collected in the sheet.</t>
  </si>
  <si>
    <t>I modified and tested Python file flashing the UFS build remotely.</t>
  </si>
  <si>
    <t>Will attach the file in zip folder in same mail.</t>
  </si>
  <si>
    <t>Yes, I have created half script earlier and modified it.</t>
  </si>
  <si>
    <t>Prepared sheet for FCP flashing</t>
  </si>
  <si>
    <t>No. of FCP flashing Commands: 226 FCPs</t>
  </si>
  <si>
    <t>Prepared the sheet for the FCP flashing.</t>
  </si>
  <si>
    <t>Worked on Python file for FCP flashing</t>
  </si>
  <si>
    <t>I created Python file FCP switching.</t>
  </si>
  <si>
    <t>I tested Python file FCP flashing for different FCP switching commands.</t>
  </si>
  <si>
    <t>No. of Vehicle Simulator Scripts: 17 Test scripts.</t>
  </si>
  <si>
    <t>Outcome: Identified TS that can be created using the current setup of the Vector CANoe tool.</t>
  </si>
  <si>
    <t>CAN data consolidated in the same sheet.</t>
  </si>
  <si>
    <t>Modified and tested a Python file for flashing the UFS build remotely.</t>
  </si>
  <si>
    <t>File Details: Half of the script was created earlier; modifications were made.</t>
  </si>
  <si>
    <t>Will attach the file in a zip folder.</t>
  </si>
  <si>
    <t>No. of FCP Flashing Commands: 226 FCPs.</t>
  </si>
  <si>
    <t>Created and consolidated the data a sheet for these FCP flashing commands.</t>
  </si>
  <si>
    <t>Created a Python file for FCP switching.</t>
  </si>
  <si>
    <t>Tested the Python file for FCP flashing with different FCP switching commands.</t>
  </si>
  <si>
    <t>Taken for 1 hour and 30 minutes.</t>
  </si>
  <si>
    <t>Published the Overnight Execution Reports of Bench 09</t>
  </si>
  <si>
    <t>Auto-Flashing Analysis on Bench 09</t>
  </si>
  <si>
    <t>Prepared Sheet for Hard Variant Switching Commands</t>
  </si>
  <si>
    <t>Manual execution of failed TS</t>
  </si>
  <si>
    <t>Taken Logs of failed TS</t>
  </si>
  <si>
    <t>Prepared the Audio Box Setup for bench 09</t>
  </si>
  <si>
    <t>Tested Audio Box Setup on bench 09</t>
  </si>
  <si>
    <t xml:space="preserve"> </t>
  </si>
  <si>
    <t>Moved Tuner setup to Lab 2</t>
  </si>
  <si>
    <t>TYAW FCP anf Hard Variant flashing on manual bench</t>
  </si>
  <si>
    <t>Wifi apk testing on manual bench</t>
  </si>
  <si>
    <t>T90X FCP anf Hard Variant flashing on manual bench</t>
  </si>
  <si>
    <t>Taken git pull/push on Bench 09.</t>
  </si>
  <si>
    <t>Performed Sanity on Bench 09.</t>
  </si>
  <si>
    <t>Checked missing resource popup on Bench 09.</t>
  </si>
  <si>
    <t>Connected Bench 09 to Jenkins Pipeline.</t>
  </si>
  <si>
    <t>Sr.No.</t>
  </si>
  <si>
    <t>Prepared the Audio Box Setup for Bench 09</t>
  </si>
  <si>
    <t>Tested Audio Box Setup on Bench 09</t>
  </si>
  <si>
    <t>Moved Tuner Setup to Lab 2</t>
  </si>
  <si>
    <t>TYAW FCP and Hard Variant flashing on manual bench</t>
  </si>
  <si>
    <t>Wifi APK testing on manual bench</t>
  </si>
  <si>
    <t>T90X FCP and Hard Variant flashing on manual bench</t>
  </si>
  <si>
    <t>Published the Overnight Execution Reports of Bench 09.</t>
  </si>
  <si>
    <t>Overnight Execution Analysis of Bench 09.</t>
  </si>
  <si>
    <t>Auto-Flashing Analysis on Bench 09.</t>
  </si>
  <si>
    <t>Flashed today's Dev build on bench 09.</t>
  </si>
  <si>
    <t>Executed the failed TS of Dev branch on Bench 09.</t>
  </si>
  <si>
    <t>Flashed today's Rel build on bench 09.</t>
  </si>
  <si>
    <t>Executed the failed TS of Rel branch on Bench 09.</t>
  </si>
  <si>
    <t>Flashed TYAW FCP and Hard variant on manual bench.</t>
  </si>
  <si>
    <t>Executed and Catured the OK logs for the KPIT_TC_DRT_AVC_060 on manual bench.</t>
  </si>
  <si>
    <t>Connected Gen Box 2 on bench 09.</t>
  </si>
  <si>
    <t>Tested the USB connection on Bench 09 through Gen Box 2.</t>
  </si>
  <si>
    <t>Flashed 23rd december's Dev build on bench 09.</t>
  </si>
  <si>
    <t>Catured the OK logs for the KPIT_TC_DRT_AVC_060 on  manual bench.</t>
  </si>
  <si>
    <t>Flashed T90X FCP and Hard variant on manual bench.</t>
  </si>
  <si>
    <t>Connected Gen Box 2 on bench 01.</t>
  </si>
  <si>
    <t>Executed and Captured the OK logs for KPIT_TC_DRT_AVC_060 on manual bench.</t>
  </si>
  <si>
    <t>Flashed 23rd December's Dev build on bench 09.</t>
  </si>
  <si>
    <t>Captured the OK logs for KPIT_TC_DRT_AVC_060 on manual bench.</t>
  </si>
  <si>
    <t>Executed and Captured the OK logs for PJ04DEF00-1161 on bench 09 on Dev Branch.</t>
  </si>
  <si>
    <t>Connected Gen Box 2 on bench 05.</t>
  </si>
  <si>
    <t>Executed KPIT_TC_DRT_AVC_060 on manual bench for Dev branch.</t>
  </si>
  <si>
    <t>Flashed today's Rel build on manual bench.</t>
  </si>
  <si>
    <t>Executed and Captured the OK logs for KPIT_TC_DRT_AVC_060 on manual bench for Rel branch.</t>
  </si>
  <si>
    <t>Flashed today's Rel build on bench 05.</t>
  </si>
  <si>
    <t>Executed PJ04DEF00-746 on bench 05.</t>
  </si>
  <si>
    <t>Connected Gen Box 2 on bench 02.</t>
  </si>
  <si>
    <t>Executed and Captured the OK logs for PJ04DEF00-746 on bench 02 on Rel branch.</t>
  </si>
  <si>
    <t>Modified and executed KPIT_TC_DRT_AVC_060 on bench 09.</t>
  </si>
  <si>
    <t>Performed Sanity on bench 7.</t>
  </si>
  <si>
    <t>Connected bench 7 to Jenkins Pipeline.</t>
  </si>
  <si>
    <t>Connected bench 9 to Jenkins Pipeline.</t>
  </si>
  <si>
    <t>Connected bench 12 to Jenkins Pipeline.</t>
  </si>
  <si>
    <t>Executed the failed TS of Rel branch on Bench 07.</t>
  </si>
  <si>
    <t>Flashed today's Dev build on bench 07.</t>
  </si>
  <si>
    <t>Executed the failed TS of Dev branch on Bench 07.</t>
  </si>
  <si>
    <t>Connected Bench 07 to PMT Jenkins Pipeline.</t>
  </si>
  <si>
    <t>Supported Vaishnavi for replacing the LED in the RWC setup on bench 10.</t>
  </si>
  <si>
    <t>Attended meeting regarding 705 PMT overnight execution.</t>
  </si>
  <si>
    <t>Get copied the Test Scripts from DRT Repo to PMT Repo for bench 07 and bench 07.</t>
  </si>
  <si>
    <t>Created TestScripts.xlxs for the 705 Overnight Execution through PMT Repo for bench 07.</t>
  </si>
  <si>
    <t>Supported creating TestScripts.xlxs for the 705 Overnight Execution through PMT Repo for bench 09.</t>
  </si>
  <si>
    <t xml:space="preserve">Filled DSR, time log and sent DSR mail. </t>
  </si>
  <si>
    <t>Checked the selected test scripts by config file on Bench 07.</t>
  </si>
  <si>
    <t>Triggered Overnight Execution on bench 07.</t>
  </si>
  <si>
    <t>f</t>
  </si>
  <si>
    <t>Get copied the Test Scripts from DRT Repo to PMT Repo for bench 07 and bench 09.</t>
  </si>
  <si>
    <t>Published Overnight Execution Reports of Bench 07.</t>
  </si>
  <si>
    <t>Completed</t>
  </si>
  <si>
    <t>Performed Calibration Activity on Bench 07.</t>
  </si>
  <si>
    <t>Bench 14</t>
  </si>
  <si>
    <t>1. The display needs to be mounted in the black box, we need to get this done by Babaji.</t>
  </si>
  <si>
    <t>Uploaded calibration data for Bench 07 on Git.</t>
  </si>
  <si>
    <t>2. The Basler Camera needs to be fixed in the black box, need to get this done by Babaji.</t>
  </si>
  <si>
    <t>Updated Automation DSR Sheet.</t>
  </si>
  <si>
    <t>3. Admin access is not available for the system PW-237. Vitthal had previously raised a ticket for this; I will follow up on the status.</t>
  </si>
  <si>
    <t>Attended DSR meeting.</t>
  </si>
  <si>
    <t>Bench 14 software installation.</t>
  </si>
  <si>
    <t>In-Progress</t>
  </si>
  <si>
    <t>Discussed and modified python file for FCP and HW Variant Flashing.</t>
  </si>
  <si>
    <t>Tested and shared python file for FCP and HW Variant Flashing.</t>
  </si>
  <si>
    <t>Checked and shared hw varinat commands sheet with Amit san.</t>
  </si>
  <si>
    <t xml:space="preserve">Replaced lens of Bench 11 and performed camera and dobot calibration with Vitthal. </t>
  </si>
  <si>
    <t>PMT Overnight Execution Analysis of Bench 07 in sheet.</t>
  </si>
  <si>
    <t>Checked config files 705 TS's bench hardware and reported changes.</t>
  </si>
  <si>
    <t>Fixed maker logs script for Bench 07.</t>
  </si>
  <si>
    <t>Get copied the maker logs test scripts from DRT Repo to PMT Repo for bench 07.</t>
  </si>
  <si>
    <t>FCP and HW variant flashing on manual bench.</t>
  </si>
  <si>
    <t>Checked and shared HW variant commands sheet with Amit San.</t>
  </si>
  <si>
    <t>Replaced lens of Bench 11 and performed camera and dobot calibration with Vitthal.</t>
  </si>
  <si>
    <t>Get copied the maker logs test scripts from DRT Repo to PMT Repo for Bench 07.</t>
  </si>
  <si>
    <t>Analyzed the Overnight Execution reports for Bench 07.</t>
  </si>
  <si>
    <t>Fixed the display on the display plate with Aniket for Bench 14.</t>
  </si>
  <si>
    <t>Attempted to fix the Basler camera in the black box; identified hurdles to discuss with Saurabh San tomorrow.</t>
  </si>
  <si>
    <t>Followed up on the admin access ticket with Vijay San and obtained approval.</t>
  </si>
  <si>
    <t>Contacted the next approval person for the same.</t>
  </si>
  <si>
    <t>Performed sanity testing on Bench 07.</t>
  </si>
  <si>
    <t>Checked for the missing resource popup on Bench 07.</t>
  </si>
  <si>
    <t>Dear Kunal San,</t>
  </si>
  <si>
    <t>I would like to provide an update on the progress regarding the setup of Bench 14 as of January 14th, 2025:</t>
  </si>
  <si>
    <t>1. Fixed the display on the display plate with Aniket for Bench 14.</t>
  </si>
  <si>
    <t>2. Attempted to fix the Basler camera in the black box with Aniket but encountered hurdles that require further discussion with Saurabh San tomorrow.</t>
  </si>
  <si>
    <t>3. Followed up on the admin access ticket with Vijay San and obtained approval.</t>
  </si>
  <si>
    <t>4. Contacted the next approval person for the same.</t>
  </si>
  <si>
    <t>Details of the hurdles:</t>
  </si>
  <si>
    <t>Screws required for the Basler camera fixation are not currently available with Babaji.</t>
  </si>
  <si>
    <t>The cable available for the Basler camera has an L-shaped (90-degree) connector on the camera side. For proper setup, we need a cable with a 180-degree connector at the camera side, similar to the ones used on other benches.</t>
  </si>
  <si>
    <t>Tomorrow, I will:</t>
  </si>
  <si>
    <t>Discuss these issues with Saurabh San to explore potential solutions.</t>
  </si>
  <si>
    <t>Check with Babaji to see if alternative hardware or cables can be arranged.</t>
  </si>
  <si>
    <t>Please let me know if there are any additional actions I should prioritize.</t>
  </si>
  <si>
    <t>Best regards,</t>
  </si>
  <si>
    <t>Chandrakant Bhalekar</t>
  </si>
  <si>
    <t>Fixed Basler camera in the black box.</t>
  </si>
  <si>
    <t>Manual execution of failed TS on T variant</t>
  </si>
  <si>
    <t>Manual execution of failed TS on TYAW</t>
  </si>
  <si>
    <t>Taken Follow up of the admin accesss ticket</t>
  </si>
  <si>
    <t>Raised ticket for the work station PW-237 not starting and call regarding same.</t>
  </si>
  <si>
    <t>Flashed today's Dev on Bench 07.</t>
  </si>
  <si>
    <t>Executed failed TS on Automation Bench 07.</t>
  </si>
  <si>
    <t>Checked the asset for the admin access.</t>
  </si>
  <si>
    <t>Breakfast</t>
  </si>
  <si>
    <t>PW-237 Not starting Assist ticket follow up.</t>
  </si>
  <si>
    <t xml:space="preserve">Executed in20 Iterations and taken logs for PJ04DEF00-475_OK </t>
  </si>
  <si>
    <t>Done and checked Audio box setup on Bench 09.</t>
  </si>
  <si>
    <t>Sync up call with team.</t>
  </si>
  <si>
    <t>Flashed todays release build on manual bench.</t>
  </si>
  <si>
    <t>Flashed FCP on manual bench.</t>
  </si>
  <si>
    <t>Taken ok logs for PJ04DEF00-1224 on todays release build.</t>
  </si>
  <si>
    <t>Overnight execution failure re-execution on Bench 07.</t>
  </si>
  <si>
    <t>Shared failure execution status to TL and uploaded evidences to sharepoint.</t>
  </si>
  <si>
    <t>Supported manual team for TYAW FCP flashing.</t>
  </si>
  <si>
    <t>Break fast</t>
  </si>
  <si>
    <t>Overnight execution failure re-execution on manual bench.</t>
  </si>
  <si>
    <t>Updated the Automation DSR Sheet and Autoflashing status sheet for bench 07.</t>
  </si>
  <si>
    <t>Checked the Vector connection on bench 09.</t>
  </si>
  <si>
    <t>Checked Robot not connecting issue on Bench 03.</t>
  </si>
  <si>
    <t>Disscussion regarding Bench 14 and Bench 15 setup with Saurabh san.</t>
  </si>
  <si>
    <t>Initiated mail for Follow-Up: Ticket #675087 - Desktop Not Starting</t>
  </si>
  <si>
    <t>PMT Overnight Execution Analysis of Bench 07.</t>
  </si>
  <si>
    <t>BT pre</t>
  </si>
  <si>
    <t>Incomplete</t>
  </si>
  <si>
    <t>Performed Calibration Activity for Bench 07.</t>
  </si>
  <si>
    <t>Made TestScript.xlxs for PMT execution for Bench 07.</t>
  </si>
  <si>
    <t>Added Exeption Handler in all Bench 07 Packs.</t>
  </si>
  <si>
    <t>Triggered PMT 750 Overnight Execution on Bench 07.</t>
  </si>
  <si>
    <t>Shared failure execution status to TL and uploaded evidence to SharePoint.</t>
  </si>
  <si>
    <t>Updated the Automation DSR Sheet and Auto flashing status sheet for bench 07.</t>
  </si>
  <si>
    <t>Discussion regarding Bench 14 and Bench 15 setup with Saurabh San.</t>
  </si>
  <si>
    <t>Added Exception Handler in all Bench 07 Packs for the PMT Repo.</t>
  </si>
  <si>
    <t>Published the PMT Overnight Execution Reports of Bench 07.</t>
  </si>
  <si>
    <t>Flashed 1403Dev UFS Build on Bench 09</t>
  </si>
  <si>
    <t>Flashed Base Build Sysucom and CAN Whitelist on Bench 09</t>
  </si>
  <si>
    <t>Flashed 1403Dev Build Sysucom and CAN Whitelist on Bench 09</t>
  </si>
  <si>
    <t>Flashed 1403Dev UFS Build on Bench 07</t>
  </si>
  <si>
    <t>Flashed Base Build Sysucom and CAN Whitelist on Bench 07</t>
  </si>
  <si>
    <t>Flashed 1403Dev Build Sysucom and CAN Whitelist on Bench 07</t>
  </si>
  <si>
    <t>Added Exception Handler in all Bench 07 Packs for the DRT Repo.</t>
  </si>
  <si>
    <t>Raised the ticket for the installation on PW-237.</t>
  </si>
  <si>
    <t>Installed the following software on the Bench 14.
TortoiseGit, Git(x64), Python, Java, Pylon (Basler).</t>
  </si>
  <si>
    <t>Raised the Kite license ticket for PW-237.</t>
  </si>
  <si>
    <t>Mail for the devices needed for Bench 14 and Bench 15</t>
  </si>
  <si>
    <t>Executed A zone and B zone black screen  screnario in 3 iteration and shared the logs for the same.</t>
  </si>
  <si>
    <t>Shared the overnight execution logs for the A zone and B zone black screen  screnario.</t>
  </si>
  <si>
    <t>Captured TYAW Images on Bench 13 OSV Bench.</t>
  </si>
  <si>
    <t>Installed TightVNC application on Bench 14.</t>
  </si>
  <si>
    <t>Helped Vitthal to Add Swipe Cordinates as per OSV Setup.</t>
  </si>
  <si>
    <t xml:space="preserve">Sr. No. </t>
  </si>
  <si>
    <t>Executed A zone and B zone black screen scenario in 3 iterations.</t>
  </si>
  <si>
    <t>Shared the overnight execution logs for the A zone and B zone black screen scenario.</t>
  </si>
  <si>
    <t>Overnight execution failure re-execution of 1404 Dev on Bench 07.</t>
  </si>
  <si>
    <t>Flashed Base Build, Sysucom and CAN Whitelist on Bench 07</t>
  </si>
  <si>
    <t>Flashed 1404 Dev Build, Sysucom and CAN Whitelist on Bench 07</t>
  </si>
  <si>
    <t>Overnight execution failure re-execution of 1403 Rel on Bench 07.</t>
  </si>
  <si>
    <t>Shared failure re-execution status to TL and uploaded evidences to sharepoint.</t>
  </si>
  <si>
    <t>Filled DSR_Automation Daily Tracker sheet and Autoflashing sheet for bench 07</t>
  </si>
  <si>
    <t>Bench 14 Setup Activity - Desktop connection</t>
  </si>
  <si>
    <t>Done Qfil setup installation on Bench 10.</t>
  </si>
  <si>
    <t>Connected USB GEN Box to Bench 05 .</t>
  </si>
  <si>
    <t>Overnight execution failure re-execution of 1404 Dev on Manual Bench.</t>
  </si>
  <si>
    <t>Testscript fixation "KPIT_TC_DRT_USB_140" on Bench 07.</t>
  </si>
  <si>
    <t>Testscript fixation "Precondition_BT_Connect Phone1 to ICB through Bluetooth and Set Device as Priority Device T Variant" on Bench 07.</t>
  </si>
  <si>
    <t>Added New Developed Test Scripts of Bench 07 in kite and config file.</t>
  </si>
  <si>
    <t>Triggered Overnight execution on Bench 07.</t>
  </si>
  <si>
    <t>Flashed 1404 Dev Build Sysucom and CAN Whitelist on Bench 07</t>
  </si>
  <si>
    <t>Shared daytime execution result with Sanman San.</t>
  </si>
  <si>
    <t>Installed Kite application on Bench 14.</t>
  </si>
  <si>
    <t>Attended call and installed wget.exe on Bench 14.</t>
  </si>
  <si>
    <t>Fixed BT connection Precondition for T variant.</t>
  </si>
  <si>
    <t>Installed Dobot application on Bench 14.</t>
  </si>
  <si>
    <t>Followup of admin access ticket for bench 14.</t>
  </si>
  <si>
    <t>Collected data required for the devices on bench 14 and 15, and send mail for it.</t>
  </si>
  <si>
    <t>Flashed today's Rel build on bench 07.</t>
  </si>
  <si>
    <t>Performed Calibration of Bench 07 and uploaded data to git.</t>
  </si>
  <si>
    <t>Flashed T90A3 Variant on Bench 01.</t>
  </si>
  <si>
    <t>Ubuntu installation in dual boot on Laptop.</t>
  </si>
  <si>
    <t>Hardware setup on Bench 14.</t>
  </si>
  <si>
    <t>Display Calibration of Bench 14.</t>
  </si>
  <si>
    <t>Connected Bench 07 to Internal Jenkins Pipeline.</t>
  </si>
  <si>
    <t>Folow-up of USB access ticket.</t>
  </si>
  <si>
    <t>New development test script analysis and execution.</t>
  </si>
  <si>
    <t>Discussion with Sanman regarding "KPIT_TC_DRT_AVC_223".</t>
  </si>
  <si>
    <t>Filled DRT Automation Tracjer and Auto Flashing sheet</t>
  </si>
  <si>
    <t>New Test script Development and rework.</t>
  </si>
  <si>
    <t>HLP_051</t>
  </si>
  <si>
    <t>DRT_PER_004</t>
  </si>
  <si>
    <t>DRT_AVC_223</t>
  </si>
  <si>
    <t>Bench 15</t>
  </si>
  <si>
    <t>Display</t>
  </si>
  <si>
    <t>Connected</t>
  </si>
  <si>
    <t>Need to check if the display plate can be used which is used in Bench 13</t>
  </si>
  <si>
    <t>Basler Camera</t>
  </si>
  <si>
    <t>Need to check if the black box setup can be used which is used in Bench 13</t>
  </si>
  <si>
    <t>Software installation</t>
  </si>
  <si>
    <t>Pending due to admin access</t>
  </si>
  <si>
    <t>No desktop available.</t>
  </si>
  <si>
    <t>Power supply</t>
  </si>
  <si>
    <t>Not connected</t>
  </si>
  <si>
    <t xml:space="preserve">Dobot </t>
  </si>
  <si>
    <t>Calibration</t>
  </si>
  <si>
    <t>Pending due to Software installation</t>
  </si>
  <si>
    <t>USB Harness</t>
  </si>
  <si>
    <t>Not Available</t>
  </si>
  <si>
    <t>Component</t>
  </si>
  <si>
    <t>Version</t>
  </si>
  <si>
    <t>Bench 13</t>
  </si>
  <si>
    <t>Wget</t>
  </si>
  <si>
    <t>1.21.4</t>
  </si>
  <si>
    <t>Python</t>
  </si>
  <si>
    <t>3.12.6</t>
  </si>
  <si>
    <t>3.12.2</t>
  </si>
  <si>
    <t>Java</t>
  </si>
  <si>
    <t>openjdk 11.0.15</t>
  </si>
  <si>
    <t>openjdk 11.0.12</t>
  </si>
  <si>
    <t>java -jar filename.jar</t>
  </si>
  <si>
    <t>wmic bios get serialnumber</t>
  </si>
  <si>
    <t>Kite</t>
  </si>
  <si>
    <t>Brainstem</t>
  </si>
  <si>
    <t>-</t>
  </si>
  <si>
    <t>Pylon (Basler)</t>
  </si>
  <si>
    <t>5.0.12</t>
  </si>
  <si>
    <t>4.0.1.3425</t>
  </si>
  <si>
    <t>Vector Driver</t>
  </si>
  <si>
    <t>VIN5610A</t>
  </si>
  <si>
    <t>Vector CAN not available.</t>
  </si>
  <si>
    <t>Relay Driver</t>
  </si>
  <si>
    <t>Installed</t>
  </si>
  <si>
    <t>Required Python Libraries</t>
  </si>
  <si>
    <t>Installed using Batch file</t>
  </si>
  <si>
    <t>Done</t>
  </si>
  <si>
    <t>Kite Data Folder Structure</t>
  </si>
  <si>
    <t>Created using Batch file</t>
  </si>
  <si>
    <t>Dobot Studio Pro</t>
  </si>
  <si>
    <t>2.8.0.17961</t>
  </si>
  <si>
    <t>Installation pending.</t>
  </si>
  <si>
    <t>2.8.0</t>
  </si>
  <si>
    <t>Disk Partition</t>
  </si>
  <si>
    <t>Blocked due to admin rights</t>
  </si>
  <si>
    <t>System Specification</t>
  </si>
  <si>
    <t>Checked</t>
  </si>
  <si>
    <t>TortoiseGit</t>
  </si>
  <si>
    <t>2.16.0</t>
  </si>
  <si>
    <t>Git(x64)</t>
  </si>
  <si>
    <t>2.47.1</t>
  </si>
  <si>
    <t>TightVNC Viewer</t>
  </si>
  <si>
    <t>Verification Team</t>
  </si>
  <si>
    <t>KPIT VAL team</t>
  </si>
  <si>
    <t>Dev Branch/Release Branch</t>
  </si>
  <si>
    <t>Release Branch</t>
  </si>
  <si>
    <t>SW build version</t>
  </si>
  <si>
    <t>AEA1403R0.250109.1</t>
  </si>
  <si>
    <t>Test Result</t>
  </si>
  <si>
    <t>Pass, Issue is not reproduced</t>
  </si>
  <si>
    <t>Actual Behavior</t>
  </si>
  <si>
    <t>1. USB(Audio) remains connected post ACC cycle on ICB screen.</t>
  </si>
  <si>
    <t>Tested Vehicle model/Variants</t>
  </si>
  <si>
    <t>T90X(Q)-T90A3</t>
  </si>
  <si>
    <t>Test Devices Used</t>
  </si>
  <si>
    <t>USB Device: SanDisk Ultra USB 3.0</t>
  </si>
  <si>
    <t>Capacity: 16GB</t>
  </si>
  <si>
    <t>Connected through USB Gen Box 2</t>
  </si>
  <si>
    <t>Frequency of Issue Occurrences</t>
  </si>
  <si>
    <t>0/5</t>
  </si>
  <si>
    <t>Impact Area Verification</t>
  </si>
  <si>
    <t>None</t>
  </si>
  <si>
    <t>Linked Test cases Verification</t>
  </si>
  <si>
    <t>KPIT_TC_DRT_KEY_013</t>
  </si>
  <si>
    <t>Part Name</t>
  </si>
  <si>
    <t>Bench14</t>
  </si>
  <si>
    <t>Bench15</t>
  </si>
  <si>
    <t>ICB Variant</t>
  </si>
  <si>
    <t>Need to connect</t>
  </si>
  <si>
    <t>Required 30AA- T</t>
  </si>
  <si>
    <t>Test Bench Desktop</t>
  </si>
  <si>
    <t>Installation Done</t>
  </si>
  <si>
    <t>Initiate procurement</t>
  </si>
  <si>
    <t>USB Hub</t>
  </si>
  <si>
    <t>Monitoring Camera</t>
  </si>
  <si>
    <t>Collect from Drawer</t>
  </si>
  <si>
    <t>Acroname</t>
  </si>
  <si>
    <t xml:space="preserve">Vector CAN </t>
  </si>
  <si>
    <t>Volume Knob</t>
  </si>
  <si>
    <t>External AMP</t>
  </si>
  <si>
    <t>Android Phone (Bluetooth) with SIM Card (S23)</t>
  </si>
  <si>
    <t>Required</t>
  </si>
  <si>
    <t>PR raised  -#25654</t>
  </si>
  <si>
    <t>Android Phone (Android Auto) with SIM Card- Wired (S23)</t>
  </si>
  <si>
    <t>Android Phone (Android Auto) with SIM Card - Wireless (S23)</t>
  </si>
  <si>
    <t>iPhone (CarPlay) with SIM card- Wired (iPhone15)</t>
  </si>
  <si>
    <t>iPhone (CarPlay) with SIM card- Wireless</t>
  </si>
  <si>
    <t>iPhone (iPod)</t>
  </si>
  <si>
    <t>NA</t>
  </si>
  <si>
    <t>USB with Audio and Video Files</t>
  </si>
  <si>
    <t>2253861, 2253850</t>
  </si>
  <si>
    <t>Multiplexer</t>
  </si>
  <si>
    <t>USB Harness (Type A)</t>
  </si>
  <si>
    <t>Multi-Touch</t>
  </si>
  <si>
    <t>Lens</t>
  </si>
  <si>
    <t>Basler</t>
  </si>
  <si>
    <t>Basler Camera with Cable</t>
  </si>
  <si>
    <t>Need Basler camera</t>
  </si>
  <si>
    <t>Sound Blaster</t>
  </si>
  <si>
    <t>Bench No.</t>
  </si>
  <si>
    <t>Asset ID</t>
  </si>
  <si>
    <t>Admin Access</t>
  </si>
  <si>
    <t>Bench 01</t>
  </si>
  <si>
    <t>PW-238</t>
  </si>
  <si>
    <t>Yes</t>
  </si>
  <si>
    <t>Bench 02</t>
  </si>
  <si>
    <t>PW-245</t>
  </si>
  <si>
    <t>Bench 03</t>
  </si>
  <si>
    <t>PW-236</t>
  </si>
  <si>
    <t>Bench 04</t>
  </si>
  <si>
    <t>PW-239</t>
  </si>
  <si>
    <t>No</t>
  </si>
  <si>
    <t>Bench 05</t>
  </si>
  <si>
    <t>PW-240</t>
  </si>
  <si>
    <t>Bench 06</t>
  </si>
  <si>
    <t>PW-235</t>
  </si>
  <si>
    <t>Bench 07</t>
  </si>
  <si>
    <t>PW-233</t>
  </si>
  <si>
    <t>Bench 08</t>
  </si>
  <si>
    <t>PW-234</t>
  </si>
  <si>
    <t>Bench 09</t>
  </si>
  <si>
    <t>PW-241</t>
  </si>
  <si>
    <t>Bench 10</t>
  </si>
  <si>
    <t>PW-242</t>
  </si>
  <si>
    <t>Bench 11</t>
  </si>
  <si>
    <t>PW-244</t>
  </si>
  <si>
    <t>Bench 12</t>
  </si>
  <si>
    <t>PW-243</t>
  </si>
  <si>
    <t>PW-247</t>
  </si>
  <si>
    <t>PW-237</t>
  </si>
  <si>
    <t>LRT Work Staion</t>
  </si>
  <si>
    <t>PW-246</t>
  </si>
  <si>
    <t>Test Bench No.</t>
  </si>
  <si>
    <t>Current Build Version</t>
  </si>
  <si>
    <t>Sanity Status</t>
  </si>
  <si>
    <t>AEA1404D0.250117.1</t>
  </si>
  <si>
    <t>Completed and connected to official server.</t>
  </si>
  <si>
    <t>AEA1403R0.250117.1</t>
  </si>
  <si>
    <t>Test_Pack</t>
  </si>
  <si>
    <t>DRT</t>
  </si>
  <si>
    <t>PMT</t>
  </si>
  <si>
    <t>40_Precondition_Set_Brightness_Level3_and_Disable_Driver_Restriction_T_Variant</t>
  </si>
  <si>
    <t>Added</t>
  </si>
  <si>
    <t>B07_01_30AA_T_KJ_BT</t>
  </si>
  <si>
    <t>B07_02_30AA_T_KJ_HFT</t>
  </si>
  <si>
    <t>B07_03_30AA_T_KJ_USB</t>
  </si>
  <si>
    <t>B07_04_30AA_T_KJ_KBD</t>
  </si>
  <si>
    <t>B07_05_30AA_T_KJ_AMFM</t>
  </si>
  <si>
    <t>B07_06_30AA_T_KJ_HED</t>
  </si>
  <si>
    <t>B07_07_30AA_T_KJ_MCS</t>
  </si>
  <si>
    <t>B07_08_30AA_T_KJ_PER</t>
  </si>
  <si>
    <t>B07_09_30AA_T_KJ_INL</t>
  </si>
  <si>
    <t>B07_10_30AA_T_KJ_IVI</t>
  </si>
  <si>
    <t>B07_11_30AA_T_KJ_PER</t>
  </si>
  <si>
    <t>B07_12_30AA_T_KJ_KBD</t>
  </si>
  <si>
    <t>B07_13_30AA_T_KJ_ACO</t>
  </si>
  <si>
    <t>B07_14_30AA_T_KJ_RGB</t>
  </si>
  <si>
    <t>B07_15_30AA_T_KJ_BZA</t>
  </si>
  <si>
    <t>B07_16_30AA_T_KJ_HOM</t>
  </si>
  <si>
    <t>B07_17_30AA_T_KJ_PRM</t>
  </si>
  <si>
    <t>B07_18_30AA_T_KJ_PPP</t>
  </si>
  <si>
    <t>B07_19_30AA_T_KJ_ILL</t>
  </si>
  <si>
    <t>B07_20_30AA_T_KJ_FDR</t>
  </si>
  <si>
    <t>B07_21_30AA_T_KJ_INT</t>
  </si>
  <si>
    <t>B07_22_30AA_T_KJ_PER</t>
  </si>
  <si>
    <t>B07_23_30AA_T_KJ_PER_750</t>
  </si>
  <si>
    <t>B07_24_30AA_T_KJ_AVC_750</t>
  </si>
  <si>
    <t>B07_25_30AA_T_KJ_AMFM_750</t>
  </si>
  <si>
    <t>B07_26_30AA_T_KJ_AVC_750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</si>
</sst>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1"/>
      <color theme="1"/>
      <name val="Segoe UI"/>
      <family val="2"/>
    </font>
    <font>
      <b/>
      <sz val="11"/>
      <color rgb="FFFFC000"/>
      <name val="Calibri"/>
      <family val="2"/>
      <scheme val="minor"/>
    </font>
    <font>
      <sz val="11"/>
      <color rgb="FFFFC000"/>
      <name val="Calibri"/>
      <family val="2"/>
      <scheme val="minor"/>
    </font>
    <font>
      <sz val="8"/>
      <color theme="1"/>
      <name val="Segoe U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Segoe UI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2"/>
        <bgColor rgb="FF000000"/>
      </patternFill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2" fillId="0" borderId="0"/>
  </cellStyleXfs>
  <cellXfs count="255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1" fillId="2" borderId="3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wrapText="1"/>
    </xf>
    <xf numFmtId="164" fontId="0" fillId="3" borderId="6" xfId="0" applyNumberFormat="1" applyFill="1" applyBorder="1"/>
    <xf numFmtId="164" fontId="0" fillId="3" borderId="7" xfId="0" applyNumberFormat="1" applyFill="1" applyBorder="1"/>
    <xf numFmtId="164" fontId="0" fillId="3" borderId="8" xfId="0" applyNumberFormat="1" applyFill="1" applyBorder="1"/>
    <xf numFmtId="0" fontId="0" fillId="3" borderId="7" xfId="0" applyFill="1" applyBorder="1"/>
    <xf numFmtId="0" fontId="0" fillId="3" borderId="9" xfId="0" applyFill="1" applyBorder="1" applyAlignment="1">
      <alignment wrapText="1"/>
    </xf>
    <xf numFmtId="164" fontId="0" fillId="3" borderId="10" xfId="0" applyNumberFormat="1" applyFill="1" applyBorder="1"/>
    <xf numFmtId="0" fontId="0" fillId="3" borderId="10" xfId="0" applyFill="1" applyBorder="1" applyAlignment="1">
      <alignment wrapText="1"/>
    </xf>
    <xf numFmtId="164" fontId="0" fillId="3" borderId="11" xfId="0" applyNumberFormat="1" applyFill="1" applyBorder="1"/>
    <xf numFmtId="164" fontId="0" fillId="3" borderId="12" xfId="0" applyNumberFormat="1" applyFill="1" applyBorder="1"/>
    <xf numFmtId="164" fontId="0" fillId="3" borderId="13" xfId="0" applyNumberFormat="1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wrapText="1"/>
    </xf>
    <xf numFmtId="164" fontId="1" fillId="3" borderId="14" xfId="0" applyNumberFormat="1" applyFont="1" applyFill="1" applyBorder="1" applyAlignment="1">
      <alignment wrapText="1"/>
    </xf>
    <xf numFmtId="164" fontId="1" fillId="3" borderId="2" xfId="0" applyNumberFormat="1" applyFont="1" applyFill="1" applyBorder="1" applyAlignment="1">
      <alignment wrapText="1"/>
    </xf>
    <xf numFmtId="164" fontId="1" fillId="3" borderId="4" xfId="0" applyNumberFormat="1" applyFont="1" applyFill="1" applyBorder="1"/>
    <xf numFmtId="0" fontId="0" fillId="3" borderId="2" xfId="0" applyFill="1" applyBorder="1"/>
    <xf numFmtId="0" fontId="0" fillId="3" borderId="9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2" xfId="0" applyFill="1" applyBorder="1" applyAlignment="1">
      <alignment wrapText="1"/>
    </xf>
    <xf numFmtId="0" fontId="0" fillId="3" borderId="16" xfId="0" applyFill="1" applyBorder="1" applyAlignment="1">
      <alignment wrapText="1"/>
    </xf>
    <xf numFmtId="164" fontId="2" fillId="3" borderId="8" xfId="0" applyNumberFormat="1" applyFont="1" applyFill="1" applyBorder="1"/>
    <xf numFmtId="20" fontId="0" fillId="0" borderId="0" xfId="0" applyNumberFormat="1"/>
    <xf numFmtId="0" fontId="0" fillId="3" borderId="1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0" fillId="5" borderId="18" xfId="0" applyFill="1" applyBorder="1" applyAlignment="1">
      <alignment vertical="center" wrapText="1"/>
    </xf>
    <xf numFmtId="0" fontId="0" fillId="5" borderId="19" xfId="0" applyFill="1" applyBorder="1" applyAlignment="1">
      <alignment vertical="center" wrapText="1"/>
    </xf>
    <xf numFmtId="0" fontId="0" fillId="5" borderId="20" xfId="0" applyFill="1" applyBorder="1" applyAlignment="1">
      <alignment vertical="center" wrapText="1"/>
    </xf>
    <xf numFmtId="0" fontId="0" fillId="5" borderId="22" xfId="0" applyFill="1" applyBorder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4" fillId="7" borderId="24" xfId="0" applyFont="1" applyFill="1" applyBorder="1" applyAlignment="1">
      <alignment vertical="center" wrapText="1"/>
    </xf>
    <xf numFmtId="0" fontId="5" fillId="7" borderId="21" xfId="0" applyFont="1" applyFill="1" applyBorder="1" applyAlignment="1">
      <alignment vertical="center" wrapText="1"/>
    </xf>
    <xf numFmtId="0" fontId="5" fillId="7" borderId="24" xfId="0" applyFont="1" applyFill="1" applyBorder="1" applyAlignment="1">
      <alignment vertical="center" wrapText="1"/>
    </xf>
    <xf numFmtId="0" fontId="4" fillId="7" borderId="23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vertical="center" wrapText="1"/>
    </xf>
    <xf numFmtId="20" fontId="4" fillId="7" borderId="14" xfId="0" applyNumberFormat="1" applyFont="1" applyFill="1" applyBorder="1" applyAlignment="1">
      <alignment horizontal="right" vertical="center"/>
    </xf>
    <xf numFmtId="0" fontId="0" fillId="3" borderId="25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64" fontId="0" fillId="3" borderId="7" xfId="0" applyNumberFormat="1" applyFill="1" applyBorder="1" applyAlignment="1">
      <alignment vertical="center"/>
    </xf>
    <xf numFmtId="0" fontId="0" fillId="3" borderId="16" xfId="0" applyFill="1" applyBorder="1" applyAlignment="1">
      <alignment horizontal="left" vertical="top" wrapText="1"/>
    </xf>
    <xf numFmtId="0" fontId="0" fillId="3" borderId="25" xfId="0" applyFill="1" applyBorder="1" applyAlignment="1">
      <alignment horizontal="left" vertical="top" wrapText="1"/>
    </xf>
    <xf numFmtId="164" fontId="0" fillId="3" borderId="7" xfId="0" applyNumberFormat="1" applyFill="1" applyBorder="1" applyAlignment="1">
      <alignment horizontal="left" vertical="top"/>
    </xf>
    <xf numFmtId="164" fontId="0" fillId="3" borderId="7" xfId="0" applyNumberFormat="1" applyFill="1" applyBorder="1" applyAlignment="1">
      <alignment horizontal="left" vertical="top" wrapText="1"/>
    </xf>
    <xf numFmtId="0" fontId="1" fillId="2" borderId="17" xfId="0" applyFon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left" vertical="top"/>
    </xf>
    <xf numFmtId="164" fontId="0" fillId="3" borderId="10" xfId="0" applyNumberFormat="1" applyFill="1" applyBorder="1" applyAlignment="1">
      <alignment horizontal="left" vertical="top" wrapText="1"/>
    </xf>
    <xf numFmtId="164" fontId="0" fillId="3" borderId="12" xfId="0" applyNumberFormat="1" applyFill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0" fillId="5" borderId="18" xfId="0" applyFill="1" applyBorder="1" applyAlignment="1">
      <alignment vertical="center"/>
    </xf>
    <xf numFmtId="164" fontId="0" fillId="3" borderId="6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12" xfId="0" applyNumberFormat="1" applyFill="1" applyBorder="1" applyAlignment="1">
      <alignment horizontal="center"/>
    </xf>
    <xf numFmtId="164" fontId="1" fillId="3" borderId="14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20" fontId="0" fillId="5" borderId="16" xfId="0" applyNumberForma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20" fontId="0" fillId="5" borderId="16" xfId="0" applyNumberFormat="1" applyFill="1" applyBorder="1" applyAlignment="1">
      <alignment horizontal="center" vertical="center" wrapText="1"/>
    </xf>
    <xf numFmtId="20" fontId="0" fillId="5" borderId="10" xfId="0" applyNumberFormat="1" applyFill="1" applyBorder="1" applyAlignment="1">
      <alignment horizontal="center" vertical="center" wrapText="1"/>
    </xf>
    <xf numFmtId="20" fontId="0" fillId="5" borderId="12" xfId="0" applyNumberForma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/>
    </xf>
    <xf numFmtId="164" fontId="0" fillId="3" borderId="6" xfId="0" applyNumberFormat="1" applyFill="1" applyBorder="1" applyAlignment="1">
      <alignment horizontal="center" vertical="center"/>
    </xf>
    <xf numFmtId="164" fontId="0" fillId="3" borderId="10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1" fillId="3" borderId="14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0" fillId="5" borderId="21" xfId="0" applyFill="1" applyBorder="1" applyAlignment="1">
      <alignment horizontal="center" vertical="center" wrapText="1"/>
    </xf>
    <xf numFmtId="20" fontId="0" fillId="5" borderId="21" xfId="0" applyNumberFormat="1" applyFill="1" applyBorder="1" applyAlignment="1">
      <alignment horizontal="center" vertical="center" wrapText="1"/>
    </xf>
    <xf numFmtId="20" fontId="0" fillId="0" borderId="0" xfId="0" applyNumberFormat="1" applyAlignment="1">
      <alignment horizontal="center" vertical="center"/>
    </xf>
    <xf numFmtId="0" fontId="0" fillId="3" borderId="18" xfId="0" applyFill="1" applyBorder="1" applyAlignment="1">
      <alignment horizontal="left" vertical="center" wrapText="1"/>
    </xf>
    <xf numFmtId="0" fontId="0" fillId="3" borderId="19" xfId="0" applyFill="1" applyBorder="1" applyAlignment="1">
      <alignment horizontal="left" vertical="center" wrapText="1"/>
    </xf>
    <xf numFmtId="0" fontId="0" fillId="3" borderId="20" xfId="0" applyFill="1" applyBorder="1" applyAlignment="1">
      <alignment horizontal="left" vertical="center" wrapText="1"/>
    </xf>
    <xf numFmtId="0" fontId="0" fillId="5" borderId="21" xfId="0" applyFill="1" applyBorder="1" applyAlignment="1">
      <alignment horizontal="center" vertical="center"/>
    </xf>
    <xf numFmtId="0" fontId="0" fillId="5" borderId="22" xfId="0" applyFill="1" applyBorder="1" applyAlignment="1">
      <alignment vertical="center"/>
    </xf>
    <xf numFmtId="20" fontId="0" fillId="5" borderId="21" xfId="0" applyNumberFormat="1" applyFill="1" applyBorder="1" applyAlignment="1">
      <alignment horizontal="center" vertical="center"/>
    </xf>
    <xf numFmtId="0" fontId="0" fillId="3" borderId="26" xfId="0" applyFill="1" applyBorder="1" applyAlignment="1">
      <alignment wrapText="1"/>
    </xf>
    <xf numFmtId="20" fontId="0" fillId="3" borderId="9" xfId="0" applyNumberFormat="1" applyFill="1" applyBorder="1"/>
    <xf numFmtId="0" fontId="0" fillId="3" borderId="9" xfId="0" applyFill="1" applyBorder="1"/>
    <xf numFmtId="0" fontId="1" fillId="0" borderId="27" xfId="0" applyFont="1" applyBorder="1"/>
    <xf numFmtId="0" fontId="0" fillId="0" borderId="27" xfId="0" applyBorder="1"/>
    <xf numFmtId="0" fontId="0" fillId="3" borderId="26" xfId="0" applyFill="1" applyBorder="1" applyAlignment="1">
      <alignment horizontal="center" vertical="center"/>
    </xf>
    <xf numFmtId="0" fontId="0" fillId="3" borderId="28" xfId="0" applyFill="1" applyBorder="1"/>
    <xf numFmtId="164" fontId="0" fillId="3" borderId="25" xfId="0" applyNumberFormat="1" applyFill="1" applyBorder="1"/>
    <xf numFmtId="0" fontId="0" fillId="3" borderId="29" xfId="0" applyFill="1" applyBorder="1"/>
    <xf numFmtId="164" fontId="1" fillId="3" borderId="4" xfId="0" applyNumberFormat="1" applyFont="1" applyFill="1" applyBorder="1" applyAlignment="1">
      <alignment wrapText="1"/>
    </xf>
    <xf numFmtId="0" fontId="0" fillId="3" borderId="4" xfId="0" applyFill="1" applyBorder="1"/>
    <xf numFmtId="0" fontId="6" fillId="0" borderId="30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4" xfId="0" applyFont="1" applyBorder="1" applyAlignment="1">
      <alignment horizontal="left" vertical="center" indent="1"/>
    </xf>
    <xf numFmtId="0" fontId="7" fillId="0" borderId="24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164" fontId="2" fillId="3" borderId="6" xfId="0" applyNumberFormat="1" applyFont="1" applyFill="1" applyBorder="1"/>
    <xf numFmtId="164" fontId="2" fillId="3" borderId="7" xfId="0" applyNumberFormat="1" applyFont="1" applyFill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0" xfId="0" applyFont="1"/>
    <xf numFmtId="0" fontId="8" fillId="0" borderId="2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64" fontId="1" fillId="2" borderId="3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0" fillId="3" borderId="5" xfId="0" applyFill="1" applyBorder="1" applyAlignment="1">
      <alignment horizontal="center" vertical="center" wrapText="1"/>
    </xf>
    <xf numFmtId="164" fontId="0" fillId="3" borderId="6" xfId="0" applyNumberFormat="1" applyFill="1" applyBorder="1" applyAlignment="1">
      <alignment wrapText="1"/>
    </xf>
    <xf numFmtId="164" fontId="0" fillId="3" borderId="7" xfId="0" applyNumberFormat="1" applyFill="1" applyBorder="1" applyAlignment="1">
      <alignment wrapText="1"/>
    </xf>
    <xf numFmtId="164" fontId="0" fillId="3" borderId="8" xfId="0" applyNumberFormat="1" applyFill="1" applyBorder="1" applyAlignment="1">
      <alignment wrapText="1"/>
    </xf>
    <xf numFmtId="164" fontId="0" fillId="3" borderId="10" xfId="0" applyNumberFormat="1" applyFill="1" applyBorder="1" applyAlignment="1">
      <alignment wrapText="1"/>
    </xf>
    <xf numFmtId="164" fontId="0" fillId="3" borderId="11" xfId="0" applyNumberFormat="1" applyFill="1" applyBorder="1" applyAlignment="1">
      <alignment wrapText="1"/>
    </xf>
    <xf numFmtId="0" fontId="1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6" xfId="0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" fillId="0" borderId="2" xfId="0" applyFont="1" applyBorder="1" applyAlignment="1">
      <alignment horizontal="center" wrapText="1"/>
    </xf>
    <xf numFmtId="0" fontId="1" fillId="0" borderId="17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16" xfId="0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0" borderId="16" xfId="0" applyBorder="1" applyAlignment="1">
      <alignment wrapText="1"/>
    </xf>
    <xf numFmtId="0" fontId="2" fillId="0" borderId="16" xfId="0" applyFont="1" applyBorder="1" applyAlignment="1">
      <alignment wrapText="1"/>
    </xf>
    <xf numFmtId="0" fontId="0" fillId="0" borderId="10" xfId="0" applyBorder="1" applyAlignment="1">
      <alignment horizontal="center" wrapText="1"/>
    </xf>
    <xf numFmtId="0" fontId="0" fillId="0" borderId="19" xfId="0" applyBorder="1" applyAlignment="1">
      <alignment wrapText="1"/>
    </xf>
    <xf numFmtId="0" fontId="0" fillId="0" borderId="10" xfId="0" applyBorder="1" applyAlignment="1">
      <alignment wrapText="1"/>
    </xf>
    <xf numFmtId="0" fontId="2" fillId="0" borderId="10" xfId="0" applyFont="1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0" borderId="20" xfId="0" applyBorder="1" applyAlignment="1">
      <alignment wrapText="1"/>
    </xf>
    <xf numFmtId="0" fontId="2" fillId="0" borderId="12" xfId="0" applyFont="1" applyBorder="1" applyAlignment="1">
      <alignment wrapText="1"/>
    </xf>
    <xf numFmtId="0" fontId="1" fillId="0" borderId="4" xfId="0" applyFont="1" applyBorder="1" applyAlignment="1">
      <alignment horizontal="center" wrapText="1"/>
    </xf>
    <xf numFmtId="0" fontId="0" fillId="0" borderId="1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8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1" fillId="3" borderId="9" xfId="0" applyFont="1" applyFill="1" applyBorder="1" applyAlignment="1">
      <alignment wrapText="1"/>
    </xf>
    <xf numFmtId="164" fontId="0" fillId="3" borderId="25" xfId="0" applyNumberFormat="1" applyFill="1" applyBorder="1" applyAlignment="1">
      <alignment wrapText="1"/>
    </xf>
    <xf numFmtId="0" fontId="3" fillId="9" borderId="2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vertical="center"/>
    </xf>
    <xf numFmtId="0" fontId="4" fillId="10" borderId="19" xfId="0" applyFont="1" applyFill="1" applyBorder="1" applyAlignment="1">
      <alignment vertical="center"/>
    </xf>
    <xf numFmtId="0" fontId="4" fillId="10" borderId="20" xfId="0" applyFont="1" applyFill="1" applyBorder="1" applyAlignment="1">
      <alignment vertical="center"/>
    </xf>
    <xf numFmtId="20" fontId="4" fillId="10" borderId="16" xfId="0" applyNumberFormat="1" applyFont="1" applyFill="1" applyBorder="1" applyAlignment="1">
      <alignment horizontal="center" vertical="center"/>
    </xf>
    <xf numFmtId="20" fontId="4" fillId="10" borderId="10" xfId="0" applyNumberFormat="1" applyFont="1" applyFill="1" applyBorder="1" applyAlignment="1">
      <alignment horizontal="center" vertical="center"/>
    </xf>
    <xf numFmtId="20" fontId="4" fillId="10" borderId="12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left" wrapText="1"/>
    </xf>
    <xf numFmtId="0" fontId="0" fillId="11" borderId="10" xfId="0" applyFill="1" applyBorder="1" applyAlignment="1">
      <alignment horizontal="left" wrapText="1"/>
    </xf>
    <xf numFmtId="0" fontId="1" fillId="0" borderId="26" xfId="0" applyFont="1" applyBorder="1" applyAlignment="1">
      <alignment horizontal="left" vertical="center" wrapText="1"/>
    </xf>
    <xf numFmtId="0" fontId="1" fillId="8" borderId="9" xfId="0" applyFont="1" applyFill="1" applyBorder="1" applyAlignment="1">
      <alignment horizontal="left" vertical="center" wrapText="1"/>
    </xf>
    <xf numFmtId="0" fontId="1" fillId="8" borderId="15" xfId="0" applyFont="1" applyFill="1" applyBorder="1" applyAlignment="1">
      <alignment horizontal="left" vertical="center" wrapText="1"/>
    </xf>
    <xf numFmtId="0" fontId="0" fillId="11" borderId="10" xfId="0" applyFill="1" applyBorder="1" applyAlignment="1">
      <alignment horizontal="left" vertical="center" wrapText="1"/>
    </xf>
    <xf numFmtId="0" fontId="0" fillId="11" borderId="0" xfId="0" applyFill="1" applyAlignment="1">
      <alignment wrapText="1"/>
    </xf>
    <xf numFmtId="0" fontId="1" fillId="8" borderId="5" xfId="0" applyFont="1" applyFill="1" applyBorder="1" applyAlignment="1">
      <alignment horizontal="left" vertical="center" wrapText="1"/>
    </xf>
    <xf numFmtId="0" fontId="0" fillId="8" borderId="0" xfId="0" applyFill="1" applyAlignment="1">
      <alignment wrapText="1"/>
    </xf>
    <xf numFmtId="0" fontId="0" fillId="3" borderId="6" xfId="0" applyFill="1" applyBorder="1"/>
    <xf numFmtId="0" fontId="0" fillId="3" borderId="10" xfId="0" applyFill="1" applyBorder="1"/>
    <xf numFmtId="0" fontId="1" fillId="3" borderId="2" xfId="0" applyFont="1" applyFill="1" applyBorder="1"/>
    <xf numFmtId="164" fontId="1" fillId="3" borderId="14" xfId="0" applyNumberFormat="1" applyFont="1" applyFill="1" applyBorder="1"/>
    <xf numFmtId="164" fontId="1" fillId="3" borderId="2" xfId="0" applyNumberFormat="1" applyFont="1" applyFill="1" applyBorder="1"/>
    <xf numFmtId="0" fontId="9" fillId="8" borderId="5" xfId="0" applyFont="1" applyFill="1" applyBorder="1" applyAlignment="1">
      <alignment horizontal="left" vertical="center" wrapText="1"/>
    </xf>
    <xf numFmtId="0" fontId="9" fillId="8" borderId="9" xfId="0" applyFont="1" applyFill="1" applyBorder="1" applyAlignment="1">
      <alignment horizontal="left" vertical="center" wrapText="1"/>
    </xf>
    <xf numFmtId="0" fontId="9" fillId="8" borderId="15" xfId="0" applyFont="1" applyFill="1" applyBorder="1" applyAlignment="1">
      <alignment horizontal="left" vertical="center" wrapText="1"/>
    </xf>
    <xf numFmtId="0" fontId="10" fillId="8" borderId="0" xfId="0" applyFont="1" applyFill="1" applyAlignment="1">
      <alignment wrapText="1"/>
    </xf>
    <xf numFmtId="0" fontId="11" fillId="0" borderId="0" xfId="0" applyFont="1"/>
    <xf numFmtId="0" fontId="4" fillId="10" borderId="31" xfId="0" applyFont="1" applyFill="1" applyBorder="1" applyAlignment="1">
      <alignment horizontal="center" vertical="center"/>
    </xf>
    <xf numFmtId="20" fontId="4" fillId="10" borderId="32" xfId="0" applyNumberFormat="1" applyFont="1" applyFill="1" applyBorder="1" applyAlignment="1">
      <alignment horizontal="center" vertical="center"/>
    </xf>
    <xf numFmtId="0" fontId="4" fillId="10" borderId="33" xfId="0" applyFont="1" applyFill="1" applyBorder="1" applyAlignment="1">
      <alignment vertical="center"/>
    </xf>
    <xf numFmtId="0" fontId="0" fillId="11" borderId="16" xfId="0" applyFill="1" applyBorder="1" applyAlignment="1">
      <alignment horizontal="left" wrapText="1"/>
    </xf>
    <xf numFmtId="0" fontId="13" fillId="11" borderId="0" xfId="0" applyFont="1" applyFill="1" applyAlignment="1">
      <alignment wrapText="1"/>
    </xf>
    <xf numFmtId="0" fontId="0" fillId="12" borderId="10" xfId="0" applyFill="1" applyBorder="1" applyAlignment="1">
      <alignment horizontal="left" wrapText="1"/>
    </xf>
    <xf numFmtId="0" fontId="13" fillId="12" borderId="0" xfId="0" applyFont="1" applyFill="1" applyAlignment="1">
      <alignment wrapText="1"/>
    </xf>
    <xf numFmtId="0" fontId="0" fillId="12" borderId="12" xfId="0" applyFill="1" applyBorder="1" applyAlignment="1">
      <alignment horizontal="left" wrapText="1"/>
    </xf>
    <xf numFmtId="0" fontId="14" fillId="13" borderId="27" xfId="0" applyFont="1" applyFill="1" applyBorder="1" applyAlignment="1">
      <alignment vertical="center"/>
    </xf>
    <xf numFmtId="0" fontId="1" fillId="0" borderId="34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 wrapText="1"/>
    </xf>
    <xf numFmtId="9" fontId="1" fillId="0" borderId="36" xfId="1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14" fillId="13" borderId="37" xfId="0" applyFont="1" applyFill="1" applyBorder="1" applyAlignment="1">
      <alignment vertical="center"/>
    </xf>
    <xf numFmtId="0" fontId="0" fillId="8" borderId="27" xfId="0" applyFill="1" applyBorder="1" applyAlignment="1">
      <alignment horizontal="center" vertical="center"/>
    </xf>
    <xf numFmtId="9" fontId="0" fillId="0" borderId="27" xfId="1" applyFont="1" applyBorder="1" applyAlignment="1">
      <alignment horizontal="center" vertical="center" wrapText="1"/>
    </xf>
    <xf numFmtId="9" fontId="0" fillId="8" borderId="27" xfId="1" applyFont="1" applyFill="1" applyBorder="1" applyAlignment="1">
      <alignment horizontal="center" vertical="center" wrapText="1"/>
    </xf>
    <xf numFmtId="1" fontId="0" fillId="12" borderId="27" xfId="1" applyNumberFormat="1" applyFont="1" applyFill="1" applyBorder="1" applyAlignment="1">
      <alignment horizontal="center" vertical="center" wrapText="1"/>
    </xf>
    <xf numFmtId="1" fontId="0" fillId="11" borderId="27" xfId="1" applyNumberFormat="1" applyFont="1" applyFill="1" applyBorder="1" applyAlignment="1">
      <alignment horizontal="center" vertical="center" wrapText="1"/>
    </xf>
    <xf numFmtId="9" fontId="0" fillId="11" borderId="27" xfId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14" fillId="14" borderId="37" xfId="0" applyFont="1" applyFill="1" applyBorder="1" applyAlignment="1">
      <alignment horizontal="left" vertical="center"/>
    </xf>
    <xf numFmtId="9" fontId="0" fillId="12" borderId="27" xfId="1" applyFont="1" applyFill="1" applyBorder="1" applyAlignment="1">
      <alignment horizontal="center" vertical="center" wrapText="1"/>
    </xf>
    <xf numFmtId="0" fontId="0" fillId="8" borderId="27" xfId="0" applyFill="1" applyBorder="1"/>
    <xf numFmtId="0" fontId="14" fillId="14" borderId="37" xfId="0" applyFont="1" applyFill="1" applyBorder="1" applyAlignment="1">
      <alignment vertical="center"/>
    </xf>
    <xf numFmtId="0" fontId="0" fillId="12" borderId="27" xfId="0" applyFill="1" applyBorder="1"/>
    <xf numFmtId="0" fontId="0" fillId="11" borderId="27" xfId="0" applyFill="1" applyBorder="1"/>
    <xf numFmtId="0" fontId="0" fillId="0" borderId="27" xfId="0" applyBorder="1" applyAlignment="1">
      <alignment horizontal="center" vertical="center"/>
    </xf>
    <xf numFmtId="0" fontId="14" fillId="0" borderId="27" xfId="0" applyFont="1" applyBorder="1" applyAlignment="1">
      <alignment vertical="center"/>
    </xf>
    <xf numFmtId="0" fontId="0" fillId="0" borderId="38" xfId="0" applyBorder="1" applyAlignment="1">
      <alignment horizontal="center" vertical="center"/>
    </xf>
    <xf numFmtId="0" fontId="14" fillId="13" borderId="39" xfId="0" applyFont="1" applyFill="1" applyBorder="1" applyAlignment="1">
      <alignment vertical="center"/>
    </xf>
    <xf numFmtId="0" fontId="0" fillId="3" borderId="26" xfId="0" applyFill="1" applyBorder="1"/>
    <xf numFmtId="164" fontId="0" fillId="3" borderId="12" xfId="0" applyNumberFormat="1" applyFill="1" applyBorder="1" applyAlignment="1">
      <alignment wrapText="1"/>
    </xf>
    <xf numFmtId="164" fontId="0" fillId="3" borderId="13" xfId="0" applyNumberFormat="1" applyFill="1" applyBorder="1" applyAlignment="1">
      <alignment wrapText="1"/>
    </xf>
    <xf numFmtId="0" fontId="0" fillId="3" borderId="2" xfId="0" applyFill="1" applyBorder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164" fontId="1" fillId="2" borderId="2" xfId="0" applyNumberFormat="1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left" vertical="top"/>
    </xf>
    <xf numFmtId="0" fontId="11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8" borderId="0" xfId="0" applyFont="1" applyFill="1" applyAlignment="1">
      <alignment vertical="center"/>
    </xf>
    <xf numFmtId="0" fontId="8" fillId="8" borderId="0" xfId="0" applyFont="1" applyFill="1" applyAlignment="1">
      <alignment vertical="center" wrapText="1"/>
    </xf>
    <xf numFmtId="0" fontId="18" fillId="8" borderId="0" xfId="0" applyFont="1" applyFill="1" applyAlignment="1">
      <alignment vertical="center" wrapText="1"/>
    </xf>
    <xf numFmtId="0" fontId="0" fillId="3" borderId="10" xfId="0" applyFill="1" applyBorder="1" applyAlignment="1">
      <alignment horizontal="center" vertical="center"/>
    </xf>
    <xf numFmtId="0" fontId="0" fillId="0" borderId="24" xfId="0" applyBorder="1"/>
    <xf numFmtId="0" fontId="0" fillId="0" borderId="16" xfId="0" applyBorder="1"/>
    <xf numFmtId="20" fontId="4" fillId="7" borderId="2" xfId="0" applyNumberFormat="1" applyFont="1" applyFill="1" applyBorder="1" applyAlignment="1">
      <alignment horizontal="right" vertical="center"/>
    </xf>
    <xf numFmtId="0" fontId="0" fillId="0" borderId="21" xfId="0" applyBorder="1"/>
    <xf numFmtId="0" fontId="4" fillId="7" borderId="2" xfId="0" applyFont="1" applyFill="1" applyBorder="1" applyAlignment="1">
      <alignment horizontal="center" vertical="center"/>
    </xf>
    <xf numFmtId="0" fontId="0" fillId="3" borderId="10" xfId="0" applyFill="1" applyBorder="1" applyAlignment="1">
      <alignment horizontal="left" vertical="top" wrapText="1"/>
    </xf>
    <xf numFmtId="0" fontId="0" fillId="0" borderId="0" xfId="0" applyAlignment="1">
      <alignment vertical="center" wrapText="1"/>
    </xf>
    <xf numFmtId="0" fontId="0" fillId="0" borderId="0" xfId="0"/>
    <xf numFmtId="0" fontId="0" fillId="0" borderId="0" xfId="0" applyAlignment="1">
      <alignment horizontal="left" vertical="center" wrapText="1" indent="1"/>
    </xf>
  </cellXfs>
  <cellStyles count="2">
    <cellStyle name="Normal" xfId="0" builtinId="0"/>
    <cellStyle name="Percent" xfId="1" builtinId="5"/>
  </cellStyles>
  <dxfs count="21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G12" sqref="G12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39" t="s">
        <v>8</v>
      </c>
    </row>
    <row r="3" spans="1:9" x14ac:dyDescent="0.25">
      <c r="A3" s="6">
        <f t="shared" si="0"/>
        <v>2</v>
      </c>
      <c r="B3" s="12" t="s">
        <v>9</v>
      </c>
      <c r="C3" s="13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4" t="s">
        <v>10</v>
      </c>
      <c r="C4" s="13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12" t="s">
        <v>11</v>
      </c>
      <c r="C5" s="13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12"/>
      <c r="C6" s="13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12"/>
      <c r="C7" s="13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12"/>
      <c r="C8" s="13"/>
      <c r="D8" s="10"/>
      <c r="E8" s="10"/>
      <c r="F8" s="13">
        <f t="shared" si="1"/>
        <v>0</v>
      </c>
      <c r="G8" s="11"/>
    </row>
    <row r="9" spans="1:9" x14ac:dyDescent="0.25">
      <c r="A9" s="6">
        <f t="shared" si="0"/>
        <v>8</v>
      </c>
      <c r="B9" s="12"/>
      <c r="C9" s="13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2"/>
      <c r="C10" s="13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2"/>
      <c r="C11" s="13"/>
      <c r="D11" s="15"/>
      <c r="E11" s="15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2"/>
      <c r="C12" s="13"/>
      <c r="D12" s="15"/>
      <c r="E12" s="15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2"/>
      <c r="C13" s="13"/>
      <c r="D13" s="15"/>
      <c r="E13" s="15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2" t="s">
        <v>12</v>
      </c>
      <c r="C18" s="13"/>
      <c r="D18" s="15"/>
      <c r="E18" s="15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2" t="s">
        <v>13</v>
      </c>
      <c r="C19" s="13"/>
      <c r="D19" s="15"/>
      <c r="E19" s="15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2" t="s">
        <v>14</v>
      </c>
      <c r="C20" s="13"/>
      <c r="D20" s="15"/>
      <c r="E20" s="15"/>
      <c r="F20" s="10">
        <f t="shared" si="1"/>
        <v>0</v>
      </c>
      <c r="G20" s="11"/>
    </row>
    <row r="21" spans="1:7" ht="15" customHeight="1" thickBot="1" x14ac:dyDescent="0.3">
      <c r="A21" s="6">
        <f t="shared" si="0"/>
        <v>20</v>
      </c>
      <c r="B21" s="12" t="s">
        <v>15</v>
      </c>
      <c r="C21" s="16"/>
      <c r="D21" s="17"/>
      <c r="E21" s="15"/>
      <c r="F21" s="10">
        <f t="shared" si="1"/>
        <v>0</v>
      </c>
      <c r="G21" s="11"/>
    </row>
    <row r="22" spans="1:7" ht="15" customHeight="1" thickBot="1" x14ac:dyDescent="0.3">
      <c r="A22" s="18"/>
      <c r="B22" s="19" t="s">
        <v>16</v>
      </c>
      <c r="C22" s="20"/>
      <c r="D22" s="20"/>
      <c r="E22" s="21"/>
      <c r="F22" s="22">
        <f>SUM(F2:F21)</f>
        <v>0</v>
      </c>
      <c r="G22" s="23"/>
    </row>
  </sheetData>
  <conditionalFormatting sqref="G2:G21">
    <cfRule type="expression" dxfId="20" priority="1">
      <formula>SEARCH("In-Progress", G2)</formula>
    </cfRule>
    <cfRule type="expression" dxfId="19" priority="2">
      <formula>SEARCH("Incomplete", G2)</formula>
    </cfRule>
    <cfRule type="expression" dxfId="18" priority="3">
      <formula>SEARCH("Completed", G2)</formula>
    </cfRule>
  </conditionalFormatting>
  <dataValidations count="1">
    <dataValidation type="list" allowBlank="1" showInputMessage="1" showErrorMessage="1" sqref="G2:G21" xr:uid="{00000000-0002-0000-0000-000000000000}">
      <formula1>"Completed, Incomplete, In-Progress"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3"/>
  <sheetViews>
    <sheetView topLeftCell="C1" workbookViewId="0">
      <selection activeCell="M4" sqref="K1:M6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  <col min="11" max="11" width="6.7109375" bestFit="1" customWidth="1"/>
    <col min="12" max="12" width="33.85546875" bestFit="1" customWidth="1"/>
    <col min="13" max="13" width="78.28515625" bestFit="1" customWidth="1"/>
  </cols>
  <sheetData>
    <row r="1" spans="1:13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  <c r="K1" s="52" t="s">
        <v>17</v>
      </c>
      <c r="L1" s="59" t="s">
        <v>1</v>
      </c>
      <c r="M1" s="52" t="s">
        <v>18</v>
      </c>
    </row>
    <row r="2" spans="1:13" x14ac:dyDescent="0.25">
      <c r="A2" s="6">
        <f t="shared" ref="A2:A21" si="0">ROW() - ROW($A$1)</f>
        <v>1</v>
      </c>
      <c r="B2" s="12" t="s">
        <v>11</v>
      </c>
      <c r="C2" s="8">
        <v>0.41666666666666669</v>
      </c>
      <c r="D2" s="9">
        <v>0.45833333333333331</v>
      </c>
      <c r="E2" s="9">
        <v>1.388888888888889E-2</v>
      </c>
      <c r="F2" s="10">
        <f>D2-C2</f>
        <v>4.166666666666663E-2</v>
      </c>
      <c r="G2" s="11"/>
      <c r="K2" s="30">
        <v>1</v>
      </c>
      <c r="L2" s="91" t="s">
        <v>19</v>
      </c>
      <c r="M2" s="60" t="s">
        <v>20</v>
      </c>
    </row>
    <row r="3" spans="1:13" ht="43.15" customHeight="1" x14ac:dyDescent="0.25">
      <c r="A3" s="6">
        <f t="shared" si="0"/>
        <v>2</v>
      </c>
      <c r="B3" s="12" t="s">
        <v>21</v>
      </c>
      <c r="C3" s="13">
        <v>0.52638888888888891</v>
      </c>
      <c r="D3" s="10"/>
      <c r="E3" s="10"/>
      <c r="F3" s="10">
        <v>0.1041666666666667</v>
      </c>
      <c r="G3" s="11"/>
      <c r="K3" s="31">
        <v>2</v>
      </c>
      <c r="L3" s="92" t="s">
        <v>21</v>
      </c>
      <c r="M3" s="61" t="s">
        <v>22</v>
      </c>
    </row>
    <row r="4" spans="1:13" ht="43.15" customHeight="1" x14ac:dyDescent="0.25">
      <c r="A4" s="6">
        <f t="shared" si="0"/>
        <v>3</v>
      </c>
      <c r="B4" s="14" t="s">
        <v>23</v>
      </c>
      <c r="C4" s="13"/>
      <c r="D4" s="10"/>
      <c r="E4" s="10"/>
      <c r="F4" s="10">
        <v>4.1666666666666657E-2</v>
      </c>
      <c r="G4" s="11"/>
      <c r="K4" s="31">
        <v>3</v>
      </c>
      <c r="L4" s="92" t="s">
        <v>24</v>
      </c>
      <c r="M4" s="61" t="s">
        <v>25</v>
      </c>
    </row>
    <row r="5" spans="1:13" ht="43.15" customHeight="1" x14ac:dyDescent="0.25">
      <c r="A5" s="6">
        <f t="shared" si="0"/>
        <v>4</v>
      </c>
      <c r="B5" s="12" t="s">
        <v>26</v>
      </c>
      <c r="C5" s="13"/>
      <c r="D5" s="10"/>
      <c r="E5" s="10"/>
      <c r="F5" s="10">
        <v>0.1041666666666667</v>
      </c>
      <c r="G5" s="11"/>
      <c r="K5" s="31">
        <v>4</v>
      </c>
      <c r="L5" s="92" t="s">
        <v>27</v>
      </c>
      <c r="M5" s="61" t="s">
        <v>28</v>
      </c>
    </row>
    <row r="6" spans="1:13" ht="43.9" customHeight="1" thickBot="1" x14ac:dyDescent="0.3">
      <c r="A6" s="6">
        <f t="shared" si="0"/>
        <v>5</v>
      </c>
      <c r="B6" s="12" t="s">
        <v>29</v>
      </c>
      <c r="C6" s="13"/>
      <c r="D6" s="10"/>
      <c r="E6" s="10"/>
      <c r="F6" s="10">
        <v>4.1666666666666657E-2</v>
      </c>
      <c r="G6" s="11"/>
      <c r="K6" s="32">
        <v>5</v>
      </c>
      <c r="L6" s="93" t="s">
        <v>30</v>
      </c>
      <c r="M6" s="62" t="s">
        <v>31</v>
      </c>
    </row>
    <row r="7" spans="1:13" x14ac:dyDescent="0.25">
      <c r="A7" s="6">
        <f t="shared" si="0"/>
        <v>6</v>
      </c>
      <c r="B7" s="12" t="s">
        <v>32</v>
      </c>
      <c r="C7" s="13"/>
      <c r="D7" s="10"/>
      <c r="E7" s="10"/>
      <c r="F7" s="10">
        <v>4.1666666666666657E-2</v>
      </c>
      <c r="G7" s="11"/>
    </row>
    <row r="8" spans="1:13" x14ac:dyDescent="0.25">
      <c r="A8" s="6">
        <f t="shared" si="0"/>
        <v>7</v>
      </c>
      <c r="B8" s="12"/>
      <c r="C8" s="13"/>
      <c r="D8" s="10"/>
      <c r="E8" s="10"/>
      <c r="F8" s="13">
        <f t="shared" ref="F8:F21" si="1">D8-C8</f>
        <v>0</v>
      </c>
      <c r="G8" s="11"/>
    </row>
    <row r="9" spans="1:13" x14ac:dyDescent="0.25">
      <c r="A9" s="6">
        <f t="shared" si="0"/>
        <v>8</v>
      </c>
      <c r="B9" s="12"/>
      <c r="C9" s="13"/>
      <c r="D9" s="10"/>
      <c r="E9" s="10"/>
      <c r="F9" s="10">
        <f t="shared" si="1"/>
        <v>0</v>
      </c>
      <c r="G9" s="11"/>
    </row>
    <row r="10" spans="1:13" x14ac:dyDescent="0.25">
      <c r="A10" s="6">
        <f t="shared" si="0"/>
        <v>9</v>
      </c>
      <c r="B10" s="12"/>
      <c r="C10" s="13"/>
      <c r="D10" s="10"/>
      <c r="E10" s="10"/>
      <c r="F10" s="10">
        <f t="shared" si="1"/>
        <v>0</v>
      </c>
      <c r="G10" s="11"/>
    </row>
    <row r="11" spans="1:13" x14ac:dyDescent="0.25">
      <c r="A11" s="6">
        <f t="shared" si="0"/>
        <v>10</v>
      </c>
      <c r="B11" s="12"/>
      <c r="C11" s="13"/>
      <c r="D11" s="15"/>
      <c r="E11" s="15"/>
      <c r="F11" s="10">
        <f t="shared" si="1"/>
        <v>0</v>
      </c>
      <c r="G11" s="11"/>
    </row>
    <row r="12" spans="1:13" x14ac:dyDescent="0.25">
      <c r="A12" s="6">
        <f t="shared" si="0"/>
        <v>11</v>
      </c>
      <c r="B12" s="12"/>
      <c r="C12" s="13"/>
      <c r="D12" s="15"/>
      <c r="E12" s="15"/>
      <c r="F12" s="10">
        <f t="shared" si="1"/>
        <v>0</v>
      </c>
      <c r="G12" s="11"/>
    </row>
    <row r="13" spans="1:13" x14ac:dyDescent="0.25">
      <c r="A13" s="6">
        <f t="shared" si="0"/>
        <v>12</v>
      </c>
      <c r="B13" s="12"/>
      <c r="C13" s="13"/>
      <c r="D13" s="15"/>
      <c r="E13" s="15"/>
      <c r="F13" s="10">
        <f t="shared" si="1"/>
        <v>0</v>
      </c>
      <c r="G13" s="11"/>
    </row>
    <row r="14" spans="1:13" x14ac:dyDescent="0.25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1"/>
    </row>
    <row r="15" spans="1:13" x14ac:dyDescent="0.25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1"/>
    </row>
    <row r="16" spans="1:13" x14ac:dyDescent="0.25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2"/>
      <c r="C18" s="13"/>
      <c r="D18" s="15"/>
      <c r="E18" s="15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2"/>
      <c r="C19" s="13"/>
      <c r="D19" s="15"/>
      <c r="E19" s="15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2"/>
      <c r="C20" s="13"/>
      <c r="D20" s="15"/>
      <c r="E20" s="15"/>
      <c r="F20" s="10">
        <f t="shared" si="1"/>
        <v>0</v>
      </c>
      <c r="G20" s="11"/>
    </row>
    <row r="21" spans="1:7" ht="15" customHeight="1" thickBot="1" x14ac:dyDescent="0.3">
      <c r="A21" s="6">
        <f t="shared" si="0"/>
        <v>20</v>
      </c>
      <c r="B21" s="12"/>
      <c r="C21" s="16"/>
      <c r="D21" s="17"/>
      <c r="E21" s="15"/>
      <c r="F21" s="10">
        <f t="shared" si="1"/>
        <v>0</v>
      </c>
      <c r="G21" s="11"/>
    </row>
    <row r="22" spans="1:7" ht="15" customHeight="1" thickBot="1" x14ac:dyDescent="0.3">
      <c r="A22" s="18"/>
      <c r="B22" s="19" t="s">
        <v>16</v>
      </c>
      <c r="C22" s="20"/>
      <c r="D22" s="20"/>
      <c r="E22" s="21"/>
      <c r="F22" s="22">
        <f>SUM(F2:F21)</f>
        <v>0.375</v>
      </c>
      <c r="G22" s="23"/>
    </row>
    <row r="31" spans="1:7" ht="15" customHeight="1" thickBot="1" x14ac:dyDescent="0.3"/>
    <row r="32" spans="1:7" ht="15" customHeight="1" thickBot="1" x14ac:dyDescent="0.3">
      <c r="A32" s="1" t="s">
        <v>0</v>
      </c>
      <c r="B32" s="2" t="s">
        <v>1</v>
      </c>
      <c r="C32" s="5" t="s">
        <v>33</v>
      </c>
    </row>
    <row r="33" spans="1:6" x14ac:dyDescent="0.25">
      <c r="A33" s="6">
        <v>1</v>
      </c>
      <c r="B33" s="27" t="s">
        <v>11</v>
      </c>
      <c r="C33" s="9">
        <v>4.1666666666666657E-2</v>
      </c>
    </row>
    <row r="34" spans="1:6" x14ac:dyDescent="0.25">
      <c r="A34" s="24">
        <v>2</v>
      </c>
      <c r="B34" s="14" t="s">
        <v>21</v>
      </c>
      <c r="C34" s="10">
        <v>0.1041666666666667</v>
      </c>
    </row>
    <row r="35" spans="1:6" x14ac:dyDescent="0.25">
      <c r="A35" s="24">
        <v>3</v>
      </c>
      <c r="B35" s="14" t="s">
        <v>23</v>
      </c>
      <c r="C35" s="10">
        <v>4.1666666666666657E-2</v>
      </c>
    </row>
    <row r="36" spans="1:6" x14ac:dyDescent="0.25">
      <c r="A36" s="24">
        <v>4</v>
      </c>
      <c r="B36" s="14" t="s">
        <v>26</v>
      </c>
      <c r="C36" s="10">
        <v>8.3333333333333329E-2</v>
      </c>
    </row>
    <row r="37" spans="1:6" x14ac:dyDescent="0.25">
      <c r="A37" s="24">
        <v>5</v>
      </c>
      <c r="B37" s="14" t="s">
        <v>29</v>
      </c>
      <c r="C37" s="10">
        <v>4.1666666666666657E-2</v>
      </c>
    </row>
    <row r="38" spans="1:6" ht="15" customHeight="1" thickBot="1" x14ac:dyDescent="0.3">
      <c r="A38" s="25">
        <v>6</v>
      </c>
      <c r="B38" s="26" t="s">
        <v>34</v>
      </c>
      <c r="C38" s="17">
        <v>6.25E-2</v>
      </c>
    </row>
    <row r="41" spans="1:6" ht="15" customHeight="1" thickBot="1" x14ac:dyDescent="0.3">
      <c r="F41" s="39" t="s">
        <v>35</v>
      </c>
    </row>
    <row r="42" spans="1:6" ht="15" customHeight="1" thickBot="1" x14ac:dyDescent="0.3">
      <c r="A42" s="41" t="s">
        <v>0</v>
      </c>
      <c r="B42" s="42" t="s">
        <v>1</v>
      </c>
      <c r="C42" s="43" t="s">
        <v>33</v>
      </c>
      <c r="F42" s="40"/>
    </row>
    <row r="43" spans="1:6" x14ac:dyDescent="0.25">
      <c r="A43" s="250">
        <v>1</v>
      </c>
      <c r="B43" s="44" t="s">
        <v>11</v>
      </c>
      <c r="C43" s="248">
        <v>4.1666666666666657E-2</v>
      </c>
      <c r="F43" s="40" t="s">
        <v>36</v>
      </c>
    </row>
    <row r="44" spans="1:6" ht="15" customHeight="1" thickBot="1" x14ac:dyDescent="0.3">
      <c r="A44" s="249"/>
      <c r="B44" s="45" t="s">
        <v>37</v>
      </c>
      <c r="C44" s="249"/>
    </row>
    <row r="45" spans="1:6" x14ac:dyDescent="0.25">
      <c r="A45" s="250">
        <v>2</v>
      </c>
      <c r="B45" s="44" t="s">
        <v>21</v>
      </c>
      <c r="C45" s="248">
        <v>0.1041666666666667</v>
      </c>
      <c r="F45" s="39" t="s">
        <v>38</v>
      </c>
    </row>
    <row r="46" spans="1:6" ht="30" customHeight="1" x14ac:dyDescent="0.25">
      <c r="A46" s="246"/>
      <c r="B46" s="46" t="s">
        <v>39</v>
      </c>
      <c r="C46" s="246"/>
      <c r="F46" s="40"/>
    </row>
    <row r="47" spans="1:6" ht="15" customHeight="1" thickBot="1" x14ac:dyDescent="0.3">
      <c r="A47" s="249"/>
      <c r="B47" s="45" t="s">
        <v>40</v>
      </c>
      <c r="C47" s="249"/>
      <c r="F47" s="40" t="s">
        <v>41</v>
      </c>
    </row>
    <row r="48" spans="1:6" x14ac:dyDescent="0.25">
      <c r="A48" s="250">
        <v>3</v>
      </c>
      <c r="B48" s="44" t="s">
        <v>23</v>
      </c>
      <c r="C48" s="248">
        <v>4.1666666666666657E-2</v>
      </c>
      <c r="F48" s="40" t="s">
        <v>42</v>
      </c>
    </row>
    <row r="49" spans="1:6" x14ac:dyDescent="0.25">
      <c r="A49" s="246"/>
      <c r="B49" s="46" t="s">
        <v>43</v>
      </c>
      <c r="C49" s="246"/>
      <c r="F49" s="40" t="s">
        <v>44</v>
      </c>
    </row>
    <row r="50" spans="1:6" x14ac:dyDescent="0.25">
      <c r="A50" s="246"/>
      <c r="B50" s="46" t="s">
        <v>45</v>
      </c>
      <c r="C50" s="246"/>
    </row>
    <row r="51" spans="1:6" x14ac:dyDescent="0.25">
      <c r="A51" s="246"/>
      <c r="B51" s="46" t="s">
        <v>46</v>
      </c>
      <c r="C51" s="246"/>
      <c r="F51" s="39" t="s">
        <v>47</v>
      </c>
    </row>
    <row r="52" spans="1:6" ht="15" customHeight="1" thickBot="1" x14ac:dyDescent="0.3">
      <c r="A52" s="249"/>
      <c r="B52" s="45" t="s">
        <v>48</v>
      </c>
      <c r="C52" s="249"/>
      <c r="F52" s="40"/>
    </row>
    <row r="53" spans="1:6" x14ac:dyDescent="0.25">
      <c r="A53" s="250">
        <v>4</v>
      </c>
      <c r="B53" s="44" t="s">
        <v>26</v>
      </c>
      <c r="C53" s="248">
        <v>8.3333333333333329E-2</v>
      </c>
      <c r="F53" s="40" t="s">
        <v>49</v>
      </c>
    </row>
    <row r="54" spans="1:6" ht="29.45" customHeight="1" thickBot="1" x14ac:dyDescent="0.3">
      <c r="A54" s="249"/>
      <c r="B54" s="45" t="s">
        <v>50</v>
      </c>
      <c r="C54" s="249"/>
      <c r="F54" s="40" t="s">
        <v>51</v>
      </c>
    </row>
    <row r="55" spans="1:6" x14ac:dyDescent="0.25">
      <c r="A55" s="250">
        <v>5</v>
      </c>
      <c r="B55" s="44" t="s">
        <v>29</v>
      </c>
      <c r="C55" s="248">
        <v>4.1666666666666657E-2</v>
      </c>
      <c r="F55" s="40" t="s">
        <v>52</v>
      </c>
    </row>
    <row r="56" spans="1:6" ht="15" customHeight="1" thickBot="1" x14ac:dyDescent="0.3">
      <c r="A56" s="249"/>
      <c r="B56" s="45" t="s">
        <v>53</v>
      </c>
      <c r="C56" s="249"/>
    </row>
    <row r="57" spans="1:6" ht="15" customHeight="1" thickBot="1" x14ac:dyDescent="0.3">
      <c r="A57" s="47">
        <v>6</v>
      </c>
      <c r="B57" s="48" t="s">
        <v>34</v>
      </c>
      <c r="C57" s="49">
        <v>6.25E-2</v>
      </c>
      <c r="F57" s="39" t="s">
        <v>54</v>
      </c>
    </row>
    <row r="58" spans="1:6" x14ac:dyDescent="0.25">
      <c r="F58" s="40"/>
    </row>
    <row r="59" spans="1:6" x14ac:dyDescent="0.25">
      <c r="F59" s="40" t="s">
        <v>55</v>
      </c>
    </row>
    <row r="60" spans="1:6" x14ac:dyDescent="0.25">
      <c r="F60" s="40" t="s">
        <v>56</v>
      </c>
    </row>
    <row r="62" spans="1:6" x14ac:dyDescent="0.25">
      <c r="F62" s="39" t="s">
        <v>57</v>
      </c>
    </row>
    <row r="63" spans="1:6" x14ac:dyDescent="0.25">
      <c r="F63" s="40"/>
    </row>
    <row r="64" spans="1:6" ht="15" customHeight="1" thickBot="1" x14ac:dyDescent="0.3">
      <c r="F64" s="40" t="s">
        <v>58</v>
      </c>
    </row>
    <row r="65" spans="1:6" ht="15" customHeight="1" thickBot="1" x14ac:dyDescent="0.3">
      <c r="A65" s="41" t="s">
        <v>0</v>
      </c>
      <c r="B65" s="42" t="s">
        <v>1</v>
      </c>
      <c r="F65" s="40" t="s">
        <v>59</v>
      </c>
    </row>
    <row r="66" spans="1:6" x14ac:dyDescent="0.25">
      <c r="A66">
        <v>1</v>
      </c>
      <c r="B66" t="s">
        <v>11</v>
      </c>
    </row>
    <row r="67" spans="1:6" x14ac:dyDescent="0.25">
      <c r="B67" t="s">
        <v>60</v>
      </c>
      <c r="F67" s="39" t="s">
        <v>61</v>
      </c>
    </row>
    <row r="68" spans="1:6" x14ac:dyDescent="0.25">
      <c r="F68" s="40"/>
    </row>
    <row r="69" spans="1:6" x14ac:dyDescent="0.25">
      <c r="A69">
        <v>2</v>
      </c>
      <c r="B69" t="s">
        <v>21</v>
      </c>
      <c r="F69" s="40" t="s">
        <v>62</v>
      </c>
    </row>
    <row r="70" spans="1:6" x14ac:dyDescent="0.25">
      <c r="B70" t="s">
        <v>63</v>
      </c>
    </row>
    <row r="71" spans="1:6" x14ac:dyDescent="0.25">
      <c r="B71" t="s">
        <v>64</v>
      </c>
    </row>
    <row r="73" spans="1:6" x14ac:dyDescent="0.25">
      <c r="A73">
        <v>3</v>
      </c>
      <c r="B73" t="s">
        <v>23</v>
      </c>
    </row>
    <row r="74" spans="1:6" x14ac:dyDescent="0.25">
      <c r="B74" t="s">
        <v>65</v>
      </c>
    </row>
    <row r="75" spans="1:6" x14ac:dyDescent="0.25">
      <c r="B75" t="s">
        <v>66</v>
      </c>
    </row>
    <row r="76" spans="1:6" x14ac:dyDescent="0.25">
      <c r="B76" t="s">
        <v>67</v>
      </c>
    </row>
    <row r="78" spans="1:6" x14ac:dyDescent="0.25">
      <c r="A78">
        <v>4</v>
      </c>
      <c r="B78" t="s">
        <v>68</v>
      </c>
    </row>
    <row r="79" spans="1:6" x14ac:dyDescent="0.25">
      <c r="B79" t="s">
        <v>69</v>
      </c>
    </row>
    <row r="80" spans="1:6" x14ac:dyDescent="0.25">
      <c r="B80" t="s">
        <v>70</v>
      </c>
    </row>
    <row r="81" spans="1:3" x14ac:dyDescent="0.25">
      <c r="B81" t="s">
        <v>66</v>
      </c>
    </row>
    <row r="83" spans="1:3" x14ac:dyDescent="0.25">
      <c r="A83">
        <v>5</v>
      </c>
      <c r="B83" t="s">
        <v>71</v>
      </c>
    </row>
    <row r="84" spans="1:3" x14ac:dyDescent="0.25">
      <c r="B84" t="s">
        <v>72</v>
      </c>
    </row>
    <row r="85" spans="1:3" x14ac:dyDescent="0.25">
      <c r="B85" t="s">
        <v>73</v>
      </c>
    </row>
    <row r="86" spans="1:3" x14ac:dyDescent="0.25">
      <c r="B86" t="s">
        <v>66</v>
      </c>
    </row>
    <row r="89" spans="1:3" ht="15" customHeight="1" thickBot="1" x14ac:dyDescent="0.3"/>
    <row r="90" spans="1:3" ht="15" customHeight="1" thickBot="1" x14ac:dyDescent="0.3">
      <c r="A90" s="51" t="s">
        <v>17</v>
      </c>
      <c r="B90" s="52" t="s">
        <v>1</v>
      </c>
      <c r="C90" s="53" t="s">
        <v>18</v>
      </c>
    </row>
    <row r="91" spans="1:3" x14ac:dyDescent="0.25">
      <c r="A91" s="6">
        <v>1</v>
      </c>
      <c r="B91" s="55" t="s">
        <v>19</v>
      </c>
      <c r="C91" s="54" t="s">
        <v>20</v>
      </c>
    </row>
    <row r="92" spans="1:3" x14ac:dyDescent="0.25">
      <c r="A92" s="245">
        <v>2</v>
      </c>
      <c r="B92" s="251" t="s">
        <v>21</v>
      </c>
      <c r="C92" s="54" t="s">
        <v>74</v>
      </c>
    </row>
    <row r="93" spans="1:3" x14ac:dyDescent="0.25">
      <c r="A93" s="246"/>
      <c r="B93" s="246"/>
      <c r="C93" s="54" t="s">
        <v>75</v>
      </c>
    </row>
    <row r="94" spans="1:3" x14ac:dyDescent="0.25">
      <c r="A94" s="247"/>
      <c r="B94" s="247"/>
      <c r="C94" s="54" t="s">
        <v>76</v>
      </c>
    </row>
    <row r="95" spans="1:3" x14ac:dyDescent="0.25">
      <c r="A95" s="245">
        <v>3</v>
      </c>
      <c r="B95" s="251" t="s">
        <v>24</v>
      </c>
      <c r="C95" s="54" t="s">
        <v>77</v>
      </c>
    </row>
    <row r="96" spans="1:3" x14ac:dyDescent="0.25">
      <c r="A96" s="246"/>
      <c r="B96" s="246"/>
      <c r="C96" s="54" t="s">
        <v>78</v>
      </c>
    </row>
    <row r="97" spans="1:3" x14ac:dyDescent="0.25">
      <c r="A97" s="247"/>
      <c r="B97" s="247"/>
      <c r="C97" s="54" t="s">
        <v>79</v>
      </c>
    </row>
    <row r="98" spans="1:3" x14ac:dyDescent="0.25">
      <c r="A98" s="245">
        <v>4</v>
      </c>
      <c r="B98" s="251" t="s">
        <v>27</v>
      </c>
      <c r="C98" s="54" t="s">
        <v>80</v>
      </c>
    </row>
    <row r="99" spans="1:3" x14ac:dyDescent="0.25">
      <c r="A99" s="246"/>
      <c r="B99" s="246"/>
      <c r="C99" s="54" t="s">
        <v>81</v>
      </c>
    </row>
    <row r="100" spans="1:3" x14ac:dyDescent="0.25">
      <c r="A100" s="247"/>
      <c r="B100" s="247"/>
      <c r="C100" s="54" t="s">
        <v>79</v>
      </c>
    </row>
    <row r="101" spans="1:3" x14ac:dyDescent="0.25">
      <c r="A101" s="245">
        <v>5</v>
      </c>
      <c r="B101" s="251" t="s">
        <v>30</v>
      </c>
      <c r="C101" s="54" t="s">
        <v>82</v>
      </c>
    </row>
    <row r="102" spans="1:3" x14ac:dyDescent="0.25">
      <c r="A102" s="246"/>
      <c r="B102" s="246"/>
      <c r="C102" s="54" t="s">
        <v>83</v>
      </c>
    </row>
    <row r="103" spans="1:3" x14ac:dyDescent="0.25">
      <c r="A103" s="247"/>
      <c r="B103" s="247"/>
      <c r="C103" s="54" t="s">
        <v>79</v>
      </c>
    </row>
    <row r="104" spans="1:3" x14ac:dyDescent="0.25">
      <c r="A104" s="6">
        <v>6</v>
      </c>
      <c r="B104" s="55" t="s">
        <v>34</v>
      </c>
      <c r="C104" s="54" t="s">
        <v>84</v>
      </c>
    </row>
    <row r="107" spans="1:3" ht="15" customHeight="1" thickBot="1" x14ac:dyDescent="0.3"/>
    <row r="108" spans="1:3" ht="15" customHeight="1" thickBot="1" x14ac:dyDescent="0.3">
      <c r="A108" s="51" t="s">
        <v>17</v>
      </c>
      <c r="B108" s="52" t="s">
        <v>1</v>
      </c>
      <c r="C108" s="53" t="s">
        <v>18</v>
      </c>
    </row>
    <row r="109" spans="1:3" x14ac:dyDescent="0.25">
      <c r="A109" s="6">
        <v>1</v>
      </c>
      <c r="B109" s="55" t="s">
        <v>19</v>
      </c>
      <c r="C109" s="57" t="s">
        <v>20</v>
      </c>
    </row>
    <row r="110" spans="1:3" ht="374.45" customHeight="1" x14ac:dyDescent="0.25">
      <c r="A110" s="50">
        <v>2</v>
      </c>
      <c r="B110" s="56" t="s">
        <v>21</v>
      </c>
      <c r="C110" s="58" t="s">
        <v>22</v>
      </c>
    </row>
    <row r="111" spans="1:3" ht="288" customHeight="1" x14ac:dyDescent="0.25">
      <c r="A111" s="50">
        <v>3</v>
      </c>
      <c r="B111" s="56" t="s">
        <v>24</v>
      </c>
      <c r="C111" s="58" t="s">
        <v>25</v>
      </c>
    </row>
    <row r="112" spans="1:3" ht="302.45" customHeight="1" x14ac:dyDescent="0.25">
      <c r="A112" s="50">
        <v>4</v>
      </c>
      <c r="B112" s="56" t="s">
        <v>27</v>
      </c>
      <c r="C112" s="58" t="s">
        <v>28</v>
      </c>
    </row>
    <row r="113" spans="1:3" ht="288" customHeight="1" x14ac:dyDescent="0.25">
      <c r="A113" s="50">
        <v>5</v>
      </c>
      <c r="B113" s="56" t="s">
        <v>30</v>
      </c>
      <c r="C113" s="58" t="s">
        <v>31</v>
      </c>
    </row>
  </sheetData>
  <mergeCells count="18">
    <mergeCell ref="A98:A100"/>
    <mergeCell ref="B101:B103"/>
    <mergeCell ref="A101:A103"/>
    <mergeCell ref="C53:C54"/>
    <mergeCell ref="A45:A47"/>
    <mergeCell ref="C43:C44"/>
    <mergeCell ref="A43:A44"/>
    <mergeCell ref="C45:C47"/>
    <mergeCell ref="C48:C52"/>
    <mergeCell ref="A48:A52"/>
    <mergeCell ref="B95:B97"/>
    <mergeCell ref="A92:A94"/>
    <mergeCell ref="A55:A56"/>
    <mergeCell ref="A53:A54"/>
    <mergeCell ref="B98:B100"/>
    <mergeCell ref="C55:C56"/>
    <mergeCell ref="B92:B94"/>
    <mergeCell ref="A95:A9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7"/>
  <sheetViews>
    <sheetView topLeftCell="A16" workbookViewId="0">
      <selection activeCell="B29" sqref="B29:C30"/>
    </sheetView>
  </sheetViews>
  <sheetFormatPr defaultRowHeight="15" x14ac:dyDescent="0.25"/>
  <cols>
    <col min="1" max="1" width="6.7109375" style="71" bestFit="1" customWidth="1"/>
    <col min="2" max="2" width="56.7109375" customWidth="1"/>
    <col min="3" max="3" width="9.5703125" style="74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7" ht="15" customHeight="1" thickBot="1" x14ac:dyDescent="0.3">
      <c r="A1" s="1" t="s">
        <v>0</v>
      </c>
      <c r="B1" s="2" t="s">
        <v>1</v>
      </c>
      <c r="C1" s="82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7" x14ac:dyDescent="0.25">
      <c r="A2" s="6">
        <f t="shared" ref="A2:A21" si="0">ROW() - ROW($A$1)</f>
        <v>1</v>
      </c>
      <c r="B2" s="7" t="s">
        <v>85</v>
      </c>
      <c r="C2" s="83"/>
      <c r="D2" s="9"/>
      <c r="E2" s="9"/>
      <c r="F2" s="9">
        <v>1.388888888888889E-2</v>
      </c>
      <c r="G2" s="11"/>
    </row>
    <row r="3" spans="1:7" x14ac:dyDescent="0.25">
      <c r="A3" s="6">
        <f t="shared" si="0"/>
        <v>2</v>
      </c>
      <c r="B3" s="14" t="s">
        <v>86</v>
      </c>
      <c r="C3" s="84"/>
      <c r="D3" s="10"/>
      <c r="E3" s="10"/>
      <c r="F3" s="10">
        <v>3.472222222222222E-3</v>
      </c>
      <c r="G3" s="11"/>
    </row>
    <row r="4" spans="1:7" x14ac:dyDescent="0.25">
      <c r="A4" s="6">
        <f t="shared" si="0"/>
        <v>3</v>
      </c>
      <c r="B4" s="12" t="s">
        <v>87</v>
      </c>
      <c r="C4" s="84"/>
      <c r="D4" s="10">
        <v>0.46875</v>
      </c>
      <c r="E4" s="10"/>
      <c r="F4" s="10">
        <v>3.125E-2</v>
      </c>
      <c r="G4" s="11"/>
    </row>
    <row r="5" spans="1:7" x14ac:dyDescent="0.25">
      <c r="A5" s="6">
        <f t="shared" si="0"/>
        <v>4</v>
      </c>
      <c r="B5" s="12" t="s">
        <v>88</v>
      </c>
      <c r="C5" s="84"/>
      <c r="D5" s="10"/>
      <c r="E5" s="28"/>
      <c r="F5" s="28">
        <v>4.1666666666666657E-2</v>
      </c>
      <c r="G5" s="11"/>
    </row>
    <row r="6" spans="1:7" x14ac:dyDescent="0.25">
      <c r="A6" s="6">
        <f t="shared" si="0"/>
        <v>5</v>
      </c>
      <c r="B6" t="s">
        <v>89</v>
      </c>
      <c r="C6" s="84"/>
      <c r="D6" s="10"/>
      <c r="E6" s="10"/>
      <c r="F6" s="29">
        <v>2.0833333333333329E-2</v>
      </c>
      <c r="G6" s="11"/>
    </row>
    <row r="7" spans="1:7" x14ac:dyDescent="0.25">
      <c r="A7" s="6">
        <f t="shared" si="0"/>
        <v>6</v>
      </c>
      <c r="B7" s="12" t="s">
        <v>90</v>
      </c>
      <c r="C7" s="84"/>
      <c r="D7" s="10"/>
      <c r="E7" s="10"/>
      <c r="F7" s="10">
        <v>4.1666666666666657E-2</v>
      </c>
      <c r="G7" s="11"/>
    </row>
    <row r="8" spans="1:7" x14ac:dyDescent="0.25">
      <c r="A8" s="6">
        <f t="shared" si="0"/>
        <v>7</v>
      </c>
      <c r="B8" t="s">
        <v>91</v>
      </c>
      <c r="C8" s="84" t="s">
        <v>92</v>
      </c>
      <c r="D8" s="10"/>
      <c r="E8" s="10"/>
      <c r="F8" s="29">
        <v>2.0833333333333329E-2</v>
      </c>
      <c r="G8" s="11"/>
    </row>
    <row r="9" spans="1:7" x14ac:dyDescent="0.25">
      <c r="A9" s="6">
        <f t="shared" si="0"/>
        <v>8</v>
      </c>
      <c r="B9" s="12" t="s">
        <v>93</v>
      </c>
      <c r="C9" s="84"/>
      <c r="D9" s="10"/>
      <c r="E9" s="10"/>
      <c r="F9" s="10">
        <v>1.388888888888889E-2</v>
      </c>
      <c r="G9" s="11"/>
    </row>
    <row r="10" spans="1:7" x14ac:dyDescent="0.25">
      <c r="A10" s="6">
        <f t="shared" si="0"/>
        <v>9</v>
      </c>
      <c r="B10" s="12" t="s">
        <v>94</v>
      </c>
      <c r="C10" s="84"/>
      <c r="D10" s="10"/>
      <c r="E10" s="10"/>
      <c r="F10" s="13">
        <v>1.388888888888889E-2</v>
      </c>
      <c r="G10" s="11"/>
    </row>
    <row r="11" spans="1:7" x14ac:dyDescent="0.25">
      <c r="A11" s="6">
        <f t="shared" si="0"/>
        <v>10</v>
      </c>
      <c r="B11" s="12" t="s">
        <v>95</v>
      </c>
      <c r="C11" s="84"/>
      <c r="D11" s="15"/>
      <c r="E11" s="15"/>
      <c r="F11" s="10">
        <v>3.125E-2</v>
      </c>
      <c r="G11" s="11"/>
    </row>
    <row r="12" spans="1:7" x14ac:dyDescent="0.25">
      <c r="A12" s="6">
        <f t="shared" si="0"/>
        <v>11</v>
      </c>
      <c r="B12" s="12" t="s">
        <v>96</v>
      </c>
      <c r="C12" s="84"/>
      <c r="D12" s="15"/>
      <c r="E12" s="15"/>
      <c r="F12" s="10">
        <v>1.388888888888889E-2</v>
      </c>
      <c r="G12" s="11"/>
    </row>
    <row r="13" spans="1:7" x14ac:dyDescent="0.25">
      <c r="A13" s="6">
        <f t="shared" si="0"/>
        <v>12</v>
      </c>
      <c r="B13" s="12"/>
      <c r="C13" s="84"/>
      <c r="D13" s="15"/>
      <c r="E13" s="15"/>
      <c r="F13" s="10">
        <v>6.25E-2</v>
      </c>
      <c r="G13" s="11"/>
    </row>
    <row r="14" spans="1:7" x14ac:dyDescent="0.25">
      <c r="A14" s="6">
        <f t="shared" si="0"/>
        <v>13</v>
      </c>
      <c r="B14" s="12"/>
      <c r="C14" s="84"/>
      <c r="D14" s="15"/>
      <c r="E14" s="15"/>
      <c r="F14" s="10">
        <f t="shared" ref="F14:F21" si="1">D14-C14</f>
        <v>0</v>
      </c>
      <c r="G14" s="11"/>
    </row>
    <row r="15" spans="1:7" x14ac:dyDescent="0.25">
      <c r="A15" s="6">
        <f t="shared" si="0"/>
        <v>14</v>
      </c>
      <c r="B15" s="12"/>
      <c r="C15" s="84"/>
      <c r="D15" s="15"/>
      <c r="E15" s="15"/>
      <c r="F15" s="10">
        <f t="shared" si="1"/>
        <v>0</v>
      </c>
      <c r="G15" s="11"/>
    </row>
    <row r="16" spans="1:7" x14ac:dyDescent="0.25">
      <c r="A16" s="6">
        <f t="shared" si="0"/>
        <v>15</v>
      </c>
      <c r="B16" s="12"/>
      <c r="C16" s="84"/>
      <c r="D16" s="15"/>
      <c r="E16" s="15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2"/>
      <c r="C17" s="84"/>
      <c r="D17" s="15"/>
      <c r="E17" s="15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2" t="s">
        <v>97</v>
      </c>
      <c r="C18" s="84"/>
      <c r="D18" s="15"/>
      <c r="E18" s="15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2" t="s">
        <v>98</v>
      </c>
      <c r="C19" s="84"/>
      <c r="D19" s="15"/>
      <c r="E19" s="15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2" t="s">
        <v>99</v>
      </c>
      <c r="C20" s="84"/>
      <c r="D20" s="15"/>
      <c r="E20" s="15"/>
      <c r="F20" s="10">
        <f t="shared" si="1"/>
        <v>0</v>
      </c>
      <c r="G20" s="11"/>
    </row>
    <row r="21" spans="1:7" ht="15" customHeight="1" thickBot="1" x14ac:dyDescent="0.3">
      <c r="A21" s="6">
        <f t="shared" si="0"/>
        <v>20</v>
      </c>
      <c r="B21" s="12" t="s">
        <v>100</v>
      </c>
      <c r="C21" s="85"/>
      <c r="D21" s="17"/>
      <c r="E21" s="15"/>
      <c r="F21" s="10">
        <f t="shared" si="1"/>
        <v>0</v>
      </c>
      <c r="G21" s="11"/>
    </row>
    <row r="22" spans="1:7" ht="15" customHeight="1" thickBot="1" x14ac:dyDescent="0.3">
      <c r="A22" s="18"/>
      <c r="B22" s="19" t="s">
        <v>16</v>
      </c>
      <c r="C22" s="86"/>
      <c r="D22" s="20"/>
      <c r="E22" s="21"/>
      <c r="F22" s="22">
        <f>SUM(F2:F21)</f>
        <v>0.30902777777777773</v>
      </c>
      <c r="G22" s="23"/>
    </row>
    <row r="24" spans="1:7" ht="15" customHeight="1" thickBot="1" x14ac:dyDescent="0.3"/>
    <row r="25" spans="1:7" ht="15" customHeight="1" thickBot="1" x14ac:dyDescent="0.3">
      <c r="A25" s="33" t="s">
        <v>101</v>
      </c>
      <c r="B25" s="34" t="s">
        <v>1</v>
      </c>
      <c r="C25" s="33" t="s">
        <v>33</v>
      </c>
    </row>
    <row r="26" spans="1:7" x14ac:dyDescent="0.25">
      <c r="A26" s="76">
        <v>1</v>
      </c>
      <c r="B26" s="35" t="s">
        <v>85</v>
      </c>
      <c r="C26" s="79">
        <v>1.388888888888889E-2</v>
      </c>
    </row>
    <row r="27" spans="1:7" x14ac:dyDescent="0.25">
      <c r="A27" s="77">
        <v>2</v>
      </c>
      <c r="B27" s="36" t="s">
        <v>86</v>
      </c>
      <c r="C27" s="80">
        <v>3.472222222222222E-3</v>
      </c>
    </row>
    <row r="28" spans="1:7" x14ac:dyDescent="0.25">
      <c r="A28" s="77">
        <v>3</v>
      </c>
      <c r="B28" s="36" t="s">
        <v>87</v>
      </c>
      <c r="C28" s="80">
        <v>3.125E-2</v>
      </c>
    </row>
    <row r="29" spans="1:7" x14ac:dyDescent="0.25">
      <c r="A29" s="77">
        <v>4</v>
      </c>
      <c r="B29" s="36" t="s">
        <v>88</v>
      </c>
      <c r="C29" s="80">
        <v>3.125E-2</v>
      </c>
    </row>
    <row r="30" spans="1:7" x14ac:dyDescent="0.25">
      <c r="A30" s="77">
        <v>5</v>
      </c>
      <c r="B30" s="36" t="s">
        <v>89</v>
      </c>
      <c r="C30" s="80">
        <v>2.0833333333333329E-2</v>
      </c>
    </row>
    <row r="31" spans="1:7" x14ac:dyDescent="0.25">
      <c r="A31" s="77">
        <v>6</v>
      </c>
      <c r="B31" s="36" t="s">
        <v>102</v>
      </c>
      <c r="C31" s="80">
        <v>4.1666666666666657E-2</v>
      </c>
    </row>
    <row r="32" spans="1:7" x14ac:dyDescent="0.25">
      <c r="A32" s="77">
        <v>7</v>
      </c>
      <c r="B32" s="36" t="s">
        <v>103</v>
      </c>
      <c r="C32" s="80">
        <v>2.0833333333333329E-2</v>
      </c>
    </row>
    <row r="33" spans="1:3" x14ac:dyDescent="0.25">
      <c r="A33" s="77">
        <v>8</v>
      </c>
      <c r="B33" s="36" t="s">
        <v>104</v>
      </c>
      <c r="C33" s="80">
        <v>1.7361111111111108E-2</v>
      </c>
    </row>
    <row r="34" spans="1:3" x14ac:dyDescent="0.25">
      <c r="A34" s="77">
        <v>9</v>
      </c>
      <c r="B34" s="36" t="s">
        <v>105</v>
      </c>
      <c r="C34" s="80">
        <v>1.388888888888889E-2</v>
      </c>
    </row>
    <row r="35" spans="1:3" x14ac:dyDescent="0.25">
      <c r="A35" s="77">
        <v>10</v>
      </c>
      <c r="B35" s="36" t="s">
        <v>106</v>
      </c>
      <c r="C35" s="80">
        <v>3.125E-2</v>
      </c>
    </row>
    <row r="36" spans="1:3" ht="15" customHeight="1" thickBot="1" x14ac:dyDescent="0.3">
      <c r="A36" s="78">
        <v>11</v>
      </c>
      <c r="B36" s="37" t="s">
        <v>107</v>
      </c>
      <c r="C36" s="81">
        <v>1.388888888888889E-2</v>
      </c>
    </row>
    <row r="37" spans="1:3" x14ac:dyDescent="0.25">
      <c r="C37" s="87">
        <f>SUM(C26:C36)</f>
        <v>0.23958333333333331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7"/>
  <sheetViews>
    <sheetView topLeftCell="A27" workbookViewId="0">
      <selection activeCell="B42" sqref="B42"/>
    </sheetView>
  </sheetViews>
  <sheetFormatPr defaultRowHeight="15" x14ac:dyDescent="0.25"/>
  <cols>
    <col min="1" max="1" width="6.7109375" style="74" bestFit="1" customWidth="1"/>
    <col min="2" max="2" width="70.7109375" bestFit="1" customWidth="1"/>
    <col min="3" max="3" width="9.5703125" style="74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  <col min="10" max="10" width="56.7109375" customWidth="1"/>
    <col min="11" max="11" width="10.85546875" bestFit="1" customWidth="1"/>
  </cols>
  <sheetData>
    <row r="1" spans="1:7" ht="15" customHeight="1" thickBot="1" x14ac:dyDescent="0.3">
      <c r="A1" s="51" t="s">
        <v>0</v>
      </c>
      <c r="B1" s="2" t="s">
        <v>1</v>
      </c>
      <c r="C1" s="82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7" x14ac:dyDescent="0.25">
      <c r="A2" s="6">
        <f t="shared" ref="A2:A21" si="0">ROW() - ROW($A$1)</f>
        <v>1</v>
      </c>
      <c r="B2" s="7" t="s">
        <v>108</v>
      </c>
      <c r="C2" s="83"/>
      <c r="D2" s="9"/>
      <c r="E2" s="9"/>
      <c r="F2" s="10">
        <v>1.388888888888889E-2</v>
      </c>
      <c r="G2" s="11"/>
    </row>
    <row r="3" spans="1:7" x14ac:dyDescent="0.25">
      <c r="A3" s="6">
        <f t="shared" si="0"/>
        <v>2</v>
      </c>
      <c r="B3" s="12" t="s">
        <v>109</v>
      </c>
      <c r="C3" s="84"/>
      <c r="D3" s="10"/>
      <c r="E3" s="10"/>
      <c r="F3" s="10">
        <v>1.388888888888889E-2</v>
      </c>
      <c r="G3" s="11"/>
    </row>
    <row r="4" spans="1:7" x14ac:dyDescent="0.25">
      <c r="A4" s="6">
        <f t="shared" si="0"/>
        <v>3</v>
      </c>
      <c r="B4" s="14" t="s">
        <v>110</v>
      </c>
      <c r="C4" s="84"/>
      <c r="D4" s="10"/>
      <c r="E4" s="10"/>
      <c r="F4" s="10">
        <v>6.9444444444444441E-3</v>
      </c>
      <c r="G4" s="11"/>
    </row>
    <row r="5" spans="1:7" x14ac:dyDescent="0.25">
      <c r="A5" s="6">
        <f t="shared" si="0"/>
        <v>4</v>
      </c>
      <c r="B5" s="12" t="s">
        <v>111</v>
      </c>
      <c r="C5" s="84"/>
      <c r="D5" s="10"/>
      <c r="E5" s="10"/>
      <c r="F5" s="10">
        <v>1.7361111111111108E-2</v>
      </c>
      <c r="G5" s="11"/>
    </row>
    <row r="6" spans="1:7" x14ac:dyDescent="0.25">
      <c r="A6" s="6">
        <f t="shared" si="0"/>
        <v>5</v>
      </c>
      <c r="B6" s="12" t="s">
        <v>112</v>
      </c>
      <c r="C6" s="84"/>
      <c r="D6" s="10"/>
      <c r="E6" s="10"/>
      <c r="F6" s="10">
        <v>1.388888888888889E-2</v>
      </c>
      <c r="G6" s="11"/>
    </row>
    <row r="7" spans="1:7" x14ac:dyDescent="0.25">
      <c r="A7" s="6">
        <f t="shared" si="0"/>
        <v>6</v>
      </c>
      <c r="B7" s="12" t="s">
        <v>113</v>
      </c>
      <c r="C7" s="84"/>
      <c r="D7" s="10"/>
      <c r="E7" s="10"/>
      <c r="F7" s="10">
        <v>1.7361111111111108E-2</v>
      </c>
      <c r="G7" s="11"/>
    </row>
    <row r="8" spans="1:7" x14ac:dyDescent="0.25">
      <c r="A8" s="6">
        <f t="shared" si="0"/>
        <v>7</v>
      </c>
      <c r="B8" s="12" t="s">
        <v>114</v>
      </c>
      <c r="C8" s="84"/>
      <c r="D8" s="10"/>
      <c r="E8" s="10"/>
      <c r="F8" s="13">
        <v>2.0833333333333329E-2</v>
      </c>
      <c r="G8" s="11"/>
    </row>
    <row r="9" spans="1:7" x14ac:dyDescent="0.25">
      <c r="A9" s="6">
        <f t="shared" si="0"/>
        <v>8</v>
      </c>
      <c r="B9" s="12" t="s">
        <v>115</v>
      </c>
      <c r="C9" s="84"/>
      <c r="D9" s="10"/>
      <c r="E9" s="10"/>
      <c r="F9" s="10">
        <v>6.9444444444444441E-3</v>
      </c>
      <c r="G9" s="11"/>
    </row>
    <row r="10" spans="1:7" ht="30" customHeight="1" x14ac:dyDescent="0.25">
      <c r="A10" s="6">
        <f t="shared" si="0"/>
        <v>9</v>
      </c>
      <c r="B10" s="12" t="s">
        <v>116</v>
      </c>
      <c r="C10" s="84"/>
      <c r="D10" s="10"/>
      <c r="E10" s="10"/>
      <c r="F10" s="10">
        <v>1.7361111111111108E-2</v>
      </c>
      <c r="G10" s="11"/>
    </row>
    <row r="11" spans="1:7" x14ac:dyDescent="0.25">
      <c r="A11" s="6">
        <f t="shared" si="0"/>
        <v>10</v>
      </c>
      <c r="B11" s="12" t="s">
        <v>117</v>
      </c>
      <c r="C11" s="84"/>
      <c r="D11" s="15"/>
      <c r="E11" s="15"/>
      <c r="F11" s="10">
        <v>1.388888888888889E-2</v>
      </c>
      <c r="G11" s="11"/>
    </row>
    <row r="12" spans="1:7" x14ac:dyDescent="0.25">
      <c r="A12" s="6">
        <f t="shared" si="0"/>
        <v>11</v>
      </c>
      <c r="B12" s="12" t="s">
        <v>118</v>
      </c>
      <c r="C12" s="84"/>
      <c r="D12" s="15"/>
      <c r="E12" s="15"/>
      <c r="F12" s="10">
        <v>1.388888888888889E-2</v>
      </c>
      <c r="G12" s="11"/>
    </row>
    <row r="13" spans="1:7" x14ac:dyDescent="0.25">
      <c r="A13" s="6">
        <f t="shared" si="0"/>
        <v>12</v>
      </c>
      <c r="B13" s="12" t="s">
        <v>119</v>
      </c>
      <c r="C13" s="84"/>
      <c r="D13" s="15"/>
      <c r="E13" s="15"/>
      <c r="F13" s="10">
        <v>1.7361111111111108E-2</v>
      </c>
      <c r="G13" s="11"/>
    </row>
    <row r="14" spans="1:7" x14ac:dyDescent="0.25">
      <c r="A14" s="6">
        <f t="shared" si="0"/>
        <v>13</v>
      </c>
      <c r="B14" s="12" t="s">
        <v>115</v>
      </c>
      <c r="C14" s="84"/>
      <c r="D14" s="15"/>
      <c r="E14" s="15"/>
      <c r="F14" s="10">
        <v>6.9444444444444441E-3</v>
      </c>
      <c r="G14" s="11"/>
    </row>
    <row r="15" spans="1:7" x14ac:dyDescent="0.25">
      <c r="A15" s="6">
        <f t="shared" si="0"/>
        <v>14</v>
      </c>
      <c r="B15" s="12" t="s">
        <v>120</v>
      </c>
      <c r="C15" s="84"/>
      <c r="D15" s="15"/>
      <c r="E15" s="15"/>
      <c r="F15" s="10">
        <v>1.7361111111111108E-2</v>
      </c>
      <c r="G15" s="11"/>
    </row>
    <row r="16" spans="1:7" x14ac:dyDescent="0.25">
      <c r="A16" s="6">
        <f t="shared" si="0"/>
        <v>15</v>
      </c>
      <c r="B16" s="12" t="s">
        <v>111</v>
      </c>
      <c r="C16" s="84"/>
      <c r="D16" s="15"/>
      <c r="E16" s="15"/>
      <c r="F16" s="10">
        <v>1.7361111111111108E-2</v>
      </c>
      <c r="G16" s="11"/>
    </row>
    <row r="17" spans="1:7" x14ac:dyDescent="0.25">
      <c r="A17" s="6">
        <f t="shared" si="0"/>
        <v>16</v>
      </c>
      <c r="B17" s="12" t="s">
        <v>121</v>
      </c>
      <c r="C17" s="84"/>
      <c r="D17" s="15"/>
      <c r="E17" s="15"/>
      <c r="F17" s="10">
        <v>6.9444444444444441E-3</v>
      </c>
      <c r="G17" s="11"/>
    </row>
    <row r="18" spans="1:7" x14ac:dyDescent="0.25">
      <c r="A18" s="6">
        <f t="shared" si="0"/>
        <v>17</v>
      </c>
      <c r="B18" s="12" t="s">
        <v>122</v>
      </c>
      <c r="C18" s="84"/>
      <c r="D18" s="15"/>
      <c r="E18" s="15"/>
      <c r="F18" s="10">
        <v>1.388888888888889E-2</v>
      </c>
      <c r="G18" s="11"/>
    </row>
    <row r="19" spans="1:7" x14ac:dyDescent="0.25">
      <c r="A19" s="6">
        <f t="shared" si="0"/>
        <v>18</v>
      </c>
      <c r="B19" s="12" t="s">
        <v>98</v>
      </c>
      <c r="C19" s="84"/>
      <c r="D19" s="15"/>
      <c r="E19" s="15"/>
      <c r="F19" s="10">
        <v>4.1666666666666657E-2</v>
      </c>
      <c r="G19" s="11"/>
    </row>
    <row r="20" spans="1:7" x14ac:dyDescent="0.25">
      <c r="A20" s="6">
        <f t="shared" si="0"/>
        <v>19</v>
      </c>
      <c r="B20" s="12" t="s">
        <v>100</v>
      </c>
      <c r="C20" s="84"/>
      <c r="D20" s="15"/>
      <c r="E20" s="15"/>
      <c r="F20" s="10">
        <v>6.9444444444444441E-3</v>
      </c>
      <c r="G20" s="11"/>
    </row>
    <row r="21" spans="1:7" ht="15" customHeight="1" thickBot="1" x14ac:dyDescent="0.3">
      <c r="A21" s="6">
        <f t="shared" si="0"/>
        <v>20</v>
      </c>
      <c r="B21" s="12"/>
      <c r="C21" s="85"/>
      <c r="D21" s="17"/>
      <c r="E21" s="15"/>
      <c r="F21" s="10"/>
      <c r="G21" s="11"/>
    </row>
    <row r="22" spans="1:7" ht="15" customHeight="1" thickBot="1" x14ac:dyDescent="0.3">
      <c r="A22" s="73"/>
      <c r="B22" s="19"/>
      <c r="C22" s="86"/>
      <c r="D22" s="20"/>
      <c r="E22" s="21"/>
      <c r="F22" s="22">
        <f>SUM(F2:F21)</f>
        <v>0.28472222222222221</v>
      </c>
      <c r="G22" s="23"/>
    </row>
    <row r="26" spans="1:7" ht="15" customHeight="1" thickBot="1" x14ac:dyDescent="0.3"/>
    <row r="27" spans="1:7" ht="15" customHeight="1" thickBot="1" x14ac:dyDescent="0.3">
      <c r="A27" s="33" t="s">
        <v>101</v>
      </c>
      <c r="B27" s="34" t="s">
        <v>1</v>
      </c>
      <c r="C27" s="33" t="s">
        <v>33</v>
      </c>
    </row>
    <row r="28" spans="1:7" x14ac:dyDescent="0.25">
      <c r="A28" s="76">
        <v>1</v>
      </c>
      <c r="B28" s="35" t="s">
        <v>108</v>
      </c>
      <c r="C28" s="79">
        <v>1.388888888888889E-2</v>
      </c>
    </row>
    <row r="29" spans="1:7" x14ac:dyDescent="0.25">
      <c r="A29" s="76">
        <v>2</v>
      </c>
      <c r="B29" s="35" t="s">
        <v>109</v>
      </c>
      <c r="C29" s="79">
        <v>1.388888888888889E-2</v>
      </c>
    </row>
    <row r="30" spans="1:7" x14ac:dyDescent="0.25">
      <c r="A30" s="76">
        <v>3</v>
      </c>
      <c r="B30" s="35" t="s">
        <v>110</v>
      </c>
      <c r="C30" s="79">
        <v>6.9444444444444441E-3</v>
      </c>
    </row>
    <row r="31" spans="1:7" x14ac:dyDescent="0.25">
      <c r="A31" s="76">
        <v>4</v>
      </c>
      <c r="B31" s="35" t="s">
        <v>111</v>
      </c>
      <c r="C31" s="79">
        <v>1.7361111111111108E-2</v>
      </c>
    </row>
    <row r="32" spans="1:7" x14ac:dyDescent="0.25">
      <c r="A32" s="76">
        <v>5</v>
      </c>
      <c r="B32" s="35" t="s">
        <v>112</v>
      </c>
      <c r="C32" s="79">
        <v>1.388888888888889E-2</v>
      </c>
    </row>
    <row r="33" spans="1:3" x14ac:dyDescent="0.25">
      <c r="A33" s="76">
        <v>6</v>
      </c>
      <c r="B33" s="35" t="s">
        <v>113</v>
      </c>
      <c r="C33" s="79">
        <v>1.7361111111111108E-2</v>
      </c>
    </row>
    <row r="34" spans="1:3" x14ac:dyDescent="0.25">
      <c r="A34" s="76">
        <v>7</v>
      </c>
      <c r="B34" s="35" t="s">
        <v>114</v>
      </c>
      <c r="C34" s="79">
        <v>2.0833333333333329E-2</v>
      </c>
    </row>
    <row r="35" spans="1:3" x14ac:dyDescent="0.25">
      <c r="A35" s="76">
        <v>8</v>
      </c>
      <c r="B35" s="35" t="s">
        <v>115</v>
      </c>
      <c r="C35" s="79">
        <v>6.9444444444444441E-3</v>
      </c>
    </row>
    <row r="36" spans="1:3" ht="30" customHeight="1" x14ac:dyDescent="0.25">
      <c r="A36" s="76">
        <v>9</v>
      </c>
      <c r="B36" s="35" t="s">
        <v>123</v>
      </c>
      <c r="C36" s="79">
        <v>1.7361111111111108E-2</v>
      </c>
    </row>
    <row r="37" spans="1:3" x14ac:dyDescent="0.25">
      <c r="A37" s="76">
        <v>10</v>
      </c>
      <c r="B37" s="35" t="s">
        <v>117</v>
      </c>
      <c r="C37" s="79">
        <v>1.388888888888889E-2</v>
      </c>
    </row>
    <row r="38" spans="1:3" x14ac:dyDescent="0.25">
      <c r="A38" s="76">
        <v>11</v>
      </c>
      <c r="B38" s="35" t="s">
        <v>118</v>
      </c>
      <c r="C38" s="79">
        <v>1.388888888888889E-2</v>
      </c>
    </row>
    <row r="39" spans="1:3" x14ac:dyDescent="0.25">
      <c r="A39" s="76">
        <v>12</v>
      </c>
      <c r="B39" s="35" t="s">
        <v>124</v>
      </c>
      <c r="C39" s="79">
        <v>1.7361111111111108E-2</v>
      </c>
    </row>
    <row r="40" spans="1:3" x14ac:dyDescent="0.25">
      <c r="A40" s="76">
        <v>13</v>
      </c>
      <c r="B40" s="35" t="s">
        <v>115</v>
      </c>
      <c r="C40" s="79">
        <v>6.9444444444444441E-3</v>
      </c>
    </row>
    <row r="41" spans="1:3" x14ac:dyDescent="0.25">
      <c r="A41" s="76">
        <v>14</v>
      </c>
      <c r="B41" s="35" t="s">
        <v>125</v>
      </c>
      <c r="C41" s="79">
        <v>1.7361111111111108E-2</v>
      </c>
    </row>
    <row r="42" spans="1:3" x14ac:dyDescent="0.25">
      <c r="A42" s="76">
        <v>15</v>
      </c>
      <c r="B42" s="35" t="s">
        <v>111</v>
      </c>
      <c r="C42" s="79">
        <v>1.7361111111111108E-2</v>
      </c>
    </row>
    <row r="43" spans="1:3" x14ac:dyDescent="0.25">
      <c r="A43" s="76">
        <v>16</v>
      </c>
      <c r="B43" s="35" t="s">
        <v>121</v>
      </c>
      <c r="C43" s="79">
        <v>6.9444444444444441E-3</v>
      </c>
    </row>
    <row r="44" spans="1:3" x14ac:dyDescent="0.25">
      <c r="A44" s="76">
        <v>17</v>
      </c>
      <c r="B44" s="35" t="s">
        <v>122</v>
      </c>
      <c r="C44" s="79">
        <v>1.388888888888889E-2</v>
      </c>
    </row>
    <row r="45" spans="1:3" x14ac:dyDescent="0.25">
      <c r="A45" s="76">
        <v>18</v>
      </c>
      <c r="B45" s="35" t="s">
        <v>98</v>
      </c>
      <c r="C45" s="79">
        <v>4.1666666666666657E-2</v>
      </c>
    </row>
    <row r="46" spans="1:3" ht="15" customHeight="1" thickBot="1" x14ac:dyDescent="0.3">
      <c r="A46" s="88">
        <v>19</v>
      </c>
      <c r="B46" s="38" t="s">
        <v>100</v>
      </c>
      <c r="C46" s="89">
        <v>6.9444444444444441E-3</v>
      </c>
    </row>
    <row r="47" spans="1:3" x14ac:dyDescent="0.25">
      <c r="C47" s="90">
        <f>SUM(C28:C46)</f>
        <v>0.28472222222222221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1"/>
  <sheetViews>
    <sheetView topLeftCell="A46" workbookViewId="0">
      <selection activeCell="B57" sqref="B57:C57"/>
    </sheetView>
  </sheetViews>
  <sheetFormatPr defaultRowHeight="15" x14ac:dyDescent="0.25"/>
  <cols>
    <col min="1" max="1" width="6.7109375" style="74" bestFit="1" customWidth="1"/>
    <col min="2" max="2" width="80.7109375" bestFit="1" customWidth="1"/>
    <col min="3" max="3" width="9.5703125" style="71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7" ht="15" customHeight="1" thickBot="1" x14ac:dyDescent="0.3">
      <c r="A1" s="5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7" x14ac:dyDescent="0.25">
      <c r="A2" s="6">
        <f t="shared" ref="A2:A21" si="0">ROW() - ROW($A$1)</f>
        <v>1</v>
      </c>
      <c r="B2" s="7" t="s">
        <v>108</v>
      </c>
      <c r="C2" s="67">
        <v>0.36458333333333331</v>
      </c>
      <c r="D2" s="9">
        <v>0.37986111111111109</v>
      </c>
      <c r="E2" s="9">
        <v>1.388888888888889E-2</v>
      </c>
      <c r="F2" s="10">
        <f t="shared" ref="F2:F21" si="1">D2-C2</f>
        <v>1.5277777777777779E-2</v>
      </c>
      <c r="G2" s="11"/>
    </row>
    <row r="3" spans="1:7" x14ac:dyDescent="0.25">
      <c r="A3" s="6">
        <f t="shared" si="0"/>
        <v>2</v>
      </c>
      <c r="B3" s="12" t="s">
        <v>109</v>
      </c>
      <c r="C3" s="68">
        <v>0.37986111111111109</v>
      </c>
      <c r="D3" s="10"/>
      <c r="E3" s="10">
        <v>1.7361111111111108E-2</v>
      </c>
      <c r="F3" s="10">
        <f t="shared" si="1"/>
        <v>-0.37986111111111109</v>
      </c>
      <c r="G3" s="11"/>
    </row>
    <row r="4" spans="1:7" x14ac:dyDescent="0.25">
      <c r="A4" s="6">
        <f t="shared" si="0"/>
        <v>3</v>
      </c>
      <c r="B4" s="14" t="s">
        <v>110</v>
      </c>
      <c r="C4" s="68"/>
      <c r="D4" s="10"/>
      <c r="E4" s="10">
        <v>6.9444444444444441E-3</v>
      </c>
      <c r="F4" s="10">
        <f t="shared" si="1"/>
        <v>0</v>
      </c>
      <c r="G4" s="11"/>
    </row>
    <row r="5" spans="1:7" x14ac:dyDescent="0.25">
      <c r="A5" s="6">
        <f t="shared" si="0"/>
        <v>4</v>
      </c>
      <c r="B5" s="12" t="s">
        <v>11</v>
      </c>
      <c r="C5" s="68"/>
      <c r="D5" s="10"/>
      <c r="E5" s="10">
        <v>4.1666666666666657E-2</v>
      </c>
      <c r="F5" s="10">
        <f t="shared" si="1"/>
        <v>0</v>
      </c>
      <c r="G5" s="11"/>
    </row>
    <row r="6" spans="1:7" x14ac:dyDescent="0.25">
      <c r="A6" s="6">
        <f t="shared" si="0"/>
        <v>5</v>
      </c>
      <c r="B6" s="12"/>
      <c r="C6" s="68"/>
      <c r="D6" s="10"/>
      <c r="E6" s="10"/>
      <c r="F6" s="10">
        <f t="shared" si="1"/>
        <v>0</v>
      </c>
      <c r="G6" s="11"/>
    </row>
    <row r="7" spans="1:7" x14ac:dyDescent="0.25">
      <c r="A7" s="6">
        <f t="shared" si="0"/>
        <v>6</v>
      </c>
      <c r="B7" s="12"/>
      <c r="C7" s="68"/>
      <c r="D7" s="10"/>
      <c r="E7" s="10"/>
      <c r="F7" s="10">
        <f t="shared" si="1"/>
        <v>0</v>
      </c>
      <c r="G7" s="11"/>
    </row>
    <row r="8" spans="1:7" x14ac:dyDescent="0.25">
      <c r="A8" s="6">
        <f t="shared" si="0"/>
        <v>7</v>
      </c>
      <c r="B8" s="12"/>
      <c r="C8" s="68"/>
      <c r="D8" s="10"/>
      <c r="E8" s="10"/>
      <c r="F8" s="13">
        <f t="shared" si="1"/>
        <v>0</v>
      </c>
      <c r="G8" s="11"/>
    </row>
    <row r="9" spans="1:7" x14ac:dyDescent="0.25">
      <c r="A9" s="6">
        <f t="shared" si="0"/>
        <v>8</v>
      </c>
      <c r="B9" s="12"/>
      <c r="C9" s="68"/>
      <c r="D9" s="10"/>
      <c r="E9" s="10"/>
      <c r="F9" s="10">
        <f t="shared" si="1"/>
        <v>0</v>
      </c>
      <c r="G9" s="11"/>
    </row>
    <row r="10" spans="1:7" x14ac:dyDescent="0.25">
      <c r="A10" s="6">
        <f t="shared" si="0"/>
        <v>9</v>
      </c>
      <c r="B10" s="12"/>
      <c r="C10" s="68"/>
      <c r="D10" s="10"/>
      <c r="E10" s="10"/>
      <c r="F10" s="10">
        <f t="shared" si="1"/>
        <v>0</v>
      </c>
      <c r="G10" s="11"/>
    </row>
    <row r="11" spans="1:7" x14ac:dyDescent="0.25">
      <c r="A11" s="6">
        <f t="shared" si="0"/>
        <v>10</v>
      </c>
      <c r="B11" s="12"/>
      <c r="C11" s="68"/>
      <c r="D11" s="15"/>
      <c r="E11" s="15"/>
      <c r="F11" s="10">
        <f t="shared" si="1"/>
        <v>0</v>
      </c>
      <c r="G11" s="11"/>
    </row>
    <row r="12" spans="1:7" x14ac:dyDescent="0.25">
      <c r="A12" s="6">
        <f t="shared" si="0"/>
        <v>11</v>
      </c>
      <c r="B12" s="12"/>
      <c r="C12" s="68"/>
      <c r="D12" s="15"/>
      <c r="E12" s="15"/>
      <c r="F12" s="10">
        <f t="shared" si="1"/>
        <v>0</v>
      </c>
      <c r="G12" s="11"/>
    </row>
    <row r="13" spans="1:7" x14ac:dyDescent="0.25">
      <c r="A13" s="6">
        <f t="shared" si="0"/>
        <v>12</v>
      </c>
      <c r="B13" s="12"/>
      <c r="C13" s="68"/>
      <c r="D13" s="15"/>
      <c r="E13" s="15"/>
      <c r="F13" s="10">
        <f t="shared" si="1"/>
        <v>0</v>
      </c>
      <c r="G13" s="11"/>
    </row>
    <row r="14" spans="1:7" x14ac:dyDescent="0.25">
      <c r="A14" s="6">
        <f t="shared" si="0"/>
        <v>13</v>
      </c>
      <c r="B14" s="12"/>
      <c r="C14" s="68"/>
      <c r="D14" s="15"/>
      <c r="E14" s="15"/>
      <c r="F14" s="10">
        <f t="shared" si="1"/>
        <v>0</v>
      </c>
      <c r="G14" s="11"/>
    </row>
    <row r="15" spans="1:7" x14ac:dyDescent="0.25">
      <c r="A15" s="6">
        <f t="shared" si="0"/>
        <v>14</v>
      </c>
      <c r="B15" s="12"/>
      <c r="C15" s="68"/>
      <c r="D15" s="15"/>
      <c r="E15" s="15"/>
      <c r="F15" s="10">
        <f t="shared" si="1"/>
        <v>0</v>
      </c>
      <c r="G15" s="11"/>
    </row>
    <row r="16" spans="1:7" x14ac:dyDescent="0.25">
      <c r="A16" s="6">
        <f t="shared" si="0"/>
        <v>15</v>
      </c>
      <c r="B16" s="12"/>
      <c r="C16" s="68"/>
      <c r="D16" s="15"/>
      <c r="E16" s="15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2"/>
      <c r="C17" s="68"/>
      <c r="D17" s="15"/>
      <c r="E17" s="15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2" t="s">
        <v>97</v>
      </c>
      <c r="C18" s="68"/>
      <c r="D18" s="15"/>
      <c r="E18" s="15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2" t="s">
        <v>98</v>
      </c>
      <c r="C19" s="68"/>
      <c r="D19" s="15"/>
      <c r="E19" s="15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2" t="s">
        <v>99</v>
      </c>
      <c r="C20" s="68"/>
      <c r="D20" s="15"/>
      <c r="E20" s="15"/>
      <c r="F20" s="10">
        <f t="shared" si="1"/>
        <v>0</v>
      </c>
      <c r="G20" s="11"/>
    </row>
    <row r="21" spans="1:7" ht="15" customHeight="1" thickBot="1" x14ac:dyDescent="0.3">
      <c r="A21" s="6">
        <f t="shared" si="0"/>
        <v>20</v>
      </c>
      <c r="B21" s="12" t="s">
        <v>100</v>
      </c>
      <c r="C21" s="69"/>
      <c r="D21" s="17"/>
      <c r="E21" s="15"/>
      <c r="F21" s="10">
        <f t="shared" si="1"/>
        <v>0</v>
      </c>
      <c r="G21" s="11"/>
    </row>
    <row r="22" spans="1:7" ht="15" customHeight="1" thickBot="1" x14ac:dyDescent="0.3">
      <c r="A22" s="73"/>
      <c r="B22" s="19" t="s">
        <v>16</v>
      </c>
      <c r="C22" s="70"/>
      <c r="D22" s="20"/>
      <c r="E22" s="21"/>
      <c r="F22" s="22">
        <f>SUM(F2:F21)</f>
        <v>-0.36458333333333331</v>
      </c>
      <c r="G22" s="23"/>
    </row>
    <row r="38" spans="1:3" ht="15" customHeight="1" thickBot="1" x14ac:dyDescent="0.3"/>
    <row r="39" spans="1:3" ht="15" customHeight="1" thickBot="1" x14ac:dyDescent="0.3">
      <c r="A39" s="64" t="s">
        <v>17</v>
      </c>
      <c r="B39" s="65" t="s">
        <v>1</v>
      </c>
      <c r="C39" s="64" t="s">
        <v>33</v>
      </c>
    </row>
    <row r="40" spans="1:3" x14ac:dyDescent="0.25">
      <c r="A40" s="75">
        <v>1</v>
      </c>
      <c r="B40" s="66" t="s">
        <v>108</v>
      </c>
      <c r="C40" s="72">
        <v>1.388888888888889E-2</v>
      </c>
    </row>
    <row r="41" spans="1:3" x14ac:dyDescent="0.25">
      <c r="A41" s="75">
        <v>2</v>
      </c>
      <c r="B41" s="66" t="s">
        <v>109</v>
      </c>
      <c r="C41" s="72">
        <v>1.388888888888889E-2</v>
      </c>
    </row>
    <row r="42" spans="1:3" x14ac:dyDescent="0.25">
      <c r="A42" s="75">
        <v>3</v>
      </c>
      <c r="B42" s="66" t="s">
        <v>110</v>
      </c>
      <c r="C42" s="72">
        <v>6.9444444444444441E-3</v>
      </c>
    </row>
    <row r="43" spans="1:3" x14ac:dyDescent="0.25">
      <c r="A43" s="75">
        <v>4</v>
      </c>
      <c r="B43" s="66" t="s">
        <v>111</v>
      </c>
      <c r="C43" s="72">
        <v>1.7361111111111108E-2</v>
      </c>
    </row>
    <row r="44" spans="1:3" x14ac:dyDescent="0.25">
      <c r="A44" s="75">
        <v>5</v>
      </c>
      <c r="B44" s="66" t="s">
        <v>112</v>
      </c>
      <c r="C44" s="72">
        <v>1.388888888888889E-2</v>
      </c>
    </row>
    <row r="45" spans="1:3" x14ac:dyDescent="0.25">
      <c r="A45" s="75">
        <v>6</v>
      </c>
      <c r="B45" s="66" t="s">
        <v>126</v>
      </c>
      <c r="C45" s="72">
        <v>1.7361111111111108E-2</v>
      </c>
    </row>
    <row r="46" spans="1:3" x14ac:dyDescent="0.25">
      <c r="A46" s="75">
        <v>7</v>
      </c>
      <c r="B46" s="66" t="s">
        <v>127</v>
      </c>
      <c r="C46" s="72">
        <v>1.388888888888889E-2</v>
      </c>
    </row>
    <row r="47" spans="1:3" x14ac:dyDescent="0.25">
      <c r="A47" s="75">
        <v>8</v>
      </c>
      <c r="B47" s="66" t="s">
        <v>115</v>
      </c>
      <c r="C47" s="72">
        <v>6.9444444444444441E-3</v>
      </c>
    </row>
    <row r="48" spans="1:3" x14ac:dyDescent="0.25">
      <c r="A48" s="75">
        <v>9</v>
      </c>
      <c r="B48" s="66" t="s">
        <v>128</v>
      </c>
      <c r="C48" s="72">
        <v>1.041666666666667E-2</v>
      </c>
    </row>
    <row r="49" spans="1:3" x14ac:dyDescent="0.25">
      <c r="A49" s="75">
        <v>10</v>
      </c>
      <c r="B49" s="66" t="s">
        <v>129</v>
      </c>
      <c r="C49" s="72">
        <v>1.7361111111111108E-2</v>
      </c>
    </row>
    <row r="50" spans="1:3" x14ac:dyDescent="0.25">
      <c r="A50" s="75">
        <v>11</v>
      </c>
      <c r="B50" s="66" t="s">
        <v>130</v>
      </c>
      <c r="C50" s="72">
        <v>1.7361111111111108E-2</v>
      </c>
    </row>
    <row r="51" spans="1:3" x14ac:dyDescent="0.25">
      <c r="A51" s="75">
        <v>12</v>
      </c>
      <c r="B51" s="66" t="s">
        <v>121</v>
      </c>
      <c r="C51" s="72">
        <v>6.9444444444444441E-3</v>
      </c>
    </row>
    <row r="52" spans="1:3" x14ac:dyDescent="0.25">
      <c r="A52" s="75">
        <v>13</v>
      </c>
      <c r="B52" s="66" t="s">
        <v>131</v>
      </c>
      <c r="C52" s="72">
        <v>1.7361111111111108E-2</v>
      </c>
    </row>
    <row r="53" spans="1:3" x14ac:dyDescent="0.25">
      <c r="A53" s="75">
        <v>14</v>
      </c>
      <c r="B53" s="66" t="s">
        <v>132</v>
      </c>
      <c r="C53" s="72">
        <v>1.041666666666667E-2</v>
      </c>
    </row>
    <row r="54" spans="1:3" x14ac:dyDescent="0.25">
      <c r="A54" s="75">
        <v>15</v>
      </c>
      <c r="B54" s="66" t="s">
        <v>133</v>
      </c>
      <c r="C54" s="72">
        <v>1.388888888888889E-2</v>
      </c>
    </row>
    <row r="55" spans="1:3" x14ac:dyDescent="0.25">
      <c r="A55" s="75">
        <v>16</v>
      </c>
      <c r="B55" s="66" t="s">
        <v>134</v>
      </c>
      <c r="C55" s="72">
        <v>1.7361111111111108E-2</v>
      </c>
    </row>
    <row r="56" spans="1:3" x14ac:dyDescent="0.25">
      <c r="A56" s="75">
        <v>17</v>
      </c>
      <c r="B56" s="66" t="s">
        <v>135</v>
      </c>
      <c r="C56" s="72">
        <v>1.7361111111111108E-2</v>
      </c>
    </row>
    <row r="57" spans="1:3" x14ac:dyDescent="0.25">
      <c r="A57" s="75">
        <v>18</v>
      </c>
      <c r="B57" s="66" t="s">
        <v>122</v>
      </c>
      <c r="C57" s="72">
        <v>1.388888888888889E-2</v>
      </c>
    </row>
    <row r="58" spans="1:3" x14ac:dyDescent="0.25">
      <c r="A58" s="75">
        <v>19</v>
      </c>
      <c r="B58" s="66" t="s">
        <v>136</v>
      </c>
      <c r="C58" s="72">
        <v>4.1666666666666657E-2</v>
      </c>
    </row>
    <row r="59" spans="1:3" x14ac:dyDescent="0.25">
      <c r="A59" s="75">
        <v>20</v>
      </c>
      <c r="B59" s="66" t="s">
        <v>137</v>
      </c>
      <c r="C59" s="72">
        <v>6.9444444444444441E-3</v>
      </c>
    </row>
    <row r="60" spans="1:3" x14ac:dyDescent="0.25">
      <c r="A60" s="75">
        <v>21</v>
      </c>
      <c r="B60" s="66" t="s">
        <v>138</v>
      </c>
      <c r="C60" s="72">
        <v>6.9444444444444441E-3</v>
      </c>
    </row>
    <row r="61" spans="1:3" ht="15" customHeight="1" thickBot="1" x14ac:dyDescent="0.3">
      <c r="A61" s="94">
        <v>22</v>
      </c>
      <c r="B61" s="95" t="s">
        <v>139</v>
      </c>
      <c r="C61" s="96">
        <v>6.9444444444444441E-3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6"/>
  <sheetViews>
    <sheetView topLeftCell="A22" workbookViewId="0">
      <selection activeCell="B31" sqref="B31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>
        <v>0.3527777777777778</v>
      </c>
      <c r="D2" s="9">
        <v>0.37638888888888888</v>
      </c>
      <c r="E2" s="9">
        <v>1.388888888888889E-2</v>
      </c>
      <c r="F2" s="10">
        <f t="shared" ref="F2:F8" si="1">D2-C2</f>
        <v>2.3611111111111083E-2</v>
      </c>
      <c r="G2" s="11"/>
      <c r="I2" s="39" t="s">
        <v>8</v>
      </c>
    </row>
    <row r="3" spans="1:9" x14ac:dyDescent="0.25">
      <c r="A3" s="6">
        <f t="shared" si="0"/>
        <v>2</v>
      </c>
      <c r="B3" s="12" t="s">
        <v>9</v>
      </c>
      <c r="C3" s="13">
        <v>0.37638888888888888</v>
      </c>
      <c r="D3" s="10">
        <v>0.39930555555555558</v>
      </c>
      <c r="E3" s="10">
        <v>1.7361111111111108E-2</v>
      </c>
      <c r="F3" s="10">
        <f t="shared" si="1"/>
        <v>2.2916666666666696E-2</v>
      </c>
      <c r="G3" s="11"/>
    </row>
    <row r="4" spans="1:9" x14ac:dyDescent="0.25">
      <c r="A4" s="6">
        <f t="shared" si="0"/>
        <v>3</v>
      </c>
      <c r="B4" s="14" t="s">
        <v>10</v>
      </c>
      <c r="C4" s="13">
        <v>0.39930555555555558</v>
      </c>
      <c r="D4" s="10">
        <v>0.40625</v>
      </c>
      <c r="E4" s="10">
        <v>6.9444444444444441E-3</v>
      </c>
      <c r="F4" s="10">
        <f t="shared" si="1"/>
        <v>6.9444444444444198E-3</v>
      </c>
      <c r="G4" s="11"/>
    </row>
    <row r="5" spans="1:9" x14ac:dyDescent="0.25">
      <c r="A5" s="6">
        <f t="shared" si="0"/>
        <v>4</v>
      </c>
      <c r="B5" s="12" t="s">
        <v>140</v>
      </c>
      <c r="C5" s="13">
        <v>0.40625</v>
      </c>
      <c r="D5" s="10">
        <v>0.4201388888888889</v>
      </c>
      <c r="E5" s="10">
        <v>4.1666666666666657E-2</v>
      </c>
      <c r="F5" s="10">
        <f t="shared" si="1"/>
        <v>1.3888888888888895E-2</v>
      </c>
      <c r="G5" s="11"/>
    </row>
    <row r="6" spans="1:9" x14ac:dyDescent="0.25">
      <c r="A6" s="6">
        <f t="shared" si="0"/>
        <v>5</v>
      </c>
      <c r="B6" s="12" t="s">
        <v>141</v>
      </c>
      <c r="C6" s="13">
        <v>0.4201388888888889</v>
      </c>
      <c r="D6" s="10">
        <v>0.43055555555555558</v>
      </c>
      <c r="E6" s="10"/>
      <c r="F6" s="10">
        <f t="shared" si="1"/>
        <v>1.0416666666666685E-2</v>
      </c>
      <c r="G6" s="11"/>
    </row>
    <row r="7" spans="1:9" x14ac:dyDescent="0.25">
      <c r="A7" s="6">
        <f t="shared" si="0"/>
        <v>6</v>
      </c>
      <c r="B7" s="12" t="s">
        <v>142</v>
      </c>
      <c r="C7" s="13">
        <v>0.43055555555555558</v>
      </c>
      <c r="D7" s="10">
        <v>0.44791666666666669</v>
      </c>
      <c r="E7" s="10"/>
      <c r="F7" s="10">
        <f t="shared" si="1"/>
        <v>1.7361111111111105E-2</v>
      </c>
      <c r="G7" s="11"/>
    </row>
    <row r="8" spans="1:9" x14ac:dyDescent="0.25">
      <c r="A8" s="6">
        <f t="shared" si="0"/>
        <v>7</v>
      </c>
      <c r="B8" s="12" t="s">
        <v>143</v>
      </c>
      <c r="C8" s="13">
        <v>0.44791666666666669</v>
      </c>
      <c r="D8" s="10">
        <v>0.4548611111111111</v>
      </c>
      <c r="E8" s="10"/>
      <c r="F8" s="13">
        <f t="shared" si="1"/>
        <v>6.9444444444444198E-3</v>
      </c>
      <c r="G8" s="11"/>
    </row>
    <row r="9" spans="1:9" ht="28.9" customHeight="1" x14ac:dyDescent="0.25">
      <c r="A9" s="6">
        <f t="shared" si="0"/>
        <v>8</v>
      </c>
      <c r="B9" s="12" t="s">
        <v>144</v>
      </c>
      <c r="C9" s="13"/>
      <c r="D9" s="10"/>
      <c r="E9" s="10"/>
      <c r="F9" s="10">
        <v>1.7361111111111108E-2</v>
      </c>
      <c r="G9" s="11"/>
    </row>
    <row r="10" spans="1:9" x14ac:dyDescent="0.25">
      <c r="A10" s="6">
        <f t="shared" si="0"/>
        <v>9</v>
      </c>
      <c r="B10" s="12" t="s">
        <v>145</v>
      </c>
      <c r="C10" s="13"/>
      <c r="D10" s="10"/>
      <c r="E10" s="10"/>
      <c r="F10" s="10">
        <v>3.125E-2</v>
      </c>
      <c r="G10" s="11"/>
    </row>
    <row r="11" spans="1:9" x14ac:dyDescent="0.25">
      <c r="A11" s="6">
        <f t="shared" si="0"/>
        <v>10</v>
      </c>
      <c r="B11" s="12" t="s">
        <v>141</v>
      </c>
      <c r="C11" s="13"/>
      <c r="D11" s="15"/>
      <c r="E11" s="15"/>
      <c r="F11" s="10">
        <v>2.0833333333333329E-2</v>
      </c>
      <c r="G11" s="11"/>
    </row>
    <row r="12" spans="1:9" ht="28.9" customHeight="1" x14ac:dyDescent="0.25">
      <c r="A12" s="6">
        <f t="shared" si="0"/>
        <v>11</v>
      </c>
      <c r="B12" s="12" t="s">
        <v>146</v>
      </c>
      <c r="C12" s="13"/>
      <c r="D12" s="15"/>
      <c r="E12" s="15"/>
      <c r="F12" s="10">
        <v>1.7361111111111108E-2</v>
      </c>
      <c r="G12" s="11"/>
    </row>
    <row r="13" spans="1:9" ht="28.9" customHeight="1" x14ac:dyDescent="0.25">
      <c r="A13" s="6">
        <f t="shared" si="0"/>
        <v>12</v>
      </c>
      <c r="B13" s="12" t="s">
        <v>147</v>
      </c>
      <c r="C13" s="13"/>
      <c r="D13" s="15"/>
      <c r="E13" s="15"/>
      <c r="F13" s="10">
        <v>1.388888888888889E-2</v>
      </c>
      <c r="G13" s="11"/>
    </row>
    <row r="14" spans="1:9" ht="28.9" customHeight="1" x14ac:dyDescent="0.25">
      <c r="A14" s="6">
        <f t="shared" si="0"/>
        <v>13</v>
      </c>
      <c r="B14" s="12" t="s">
        <v>148</v>
      </c>
      <c r="C14" s="13"/>
      <c r="D14" s="15"/>
      <c r="E14" s="15"/>
      <c r="F14" s="10">
        <v>6.9444444444444441E-3</v>
      </c>
      <c r="G14" s="11"/>
    </row>
    <row r="15" spans="1:9" x14ac:dyDescent="0.25">
      <c r="A15" s="6">
        <f t="shared" si="0"/>
        <v>14</v>
      </c>
      <c r="B15" s="12" t="s">
        <v>149</v>
      </c>
      <c r="C15" s="13"/>
      <c r="D15" s="15"/>
      <c r="E15" s="15"/>
      <c r="F15" s="10">
        <v>2.0833333333333329E-2</v>
      </c>
      <c r="G15" s="11"/>
    </row>
    <row r="16" spans="1:9" x14ac:dyDescent="0.25">
      <c r="A16" s="6">
        <f t="shared" si="0"/>
        <v>15</v>
      </c>
      <c r="B16" s="12" t="s">
        <v>12</v>
      </c>
      <c r="C16" s="13"/>
      <c r="D16" s="15"/>
      <c r="E16" s="15"/>
      <c r="F16" s="10">
        <v>1.041666666666667E-2</v>
      </c>
      <c r="G16" s="11"/>
    </row>
    <row r="17" spans="1:7" x14ac:dyDescent="0.25">
      <c r="A17" s="6">
        <f t="shared" si="0"/>
        <v>16</v>
      </c>
      <c r="B17" s="12" t="s">
        <v>13</v>
      </c>
      <c r="C17" s="13"/>
      <c r="D17" s="15"/>
      <c r="E17" s="15"/>
      <c r="F17" s="10">
        <v>4.1666666666666657E-2</v>
      </c>
      <c r="G17" s="11"/>
    </row>
    <row r="18" spans="1:7" x14ac:dyDescent="0.25">
      <c r="A18" s="6">
        <f t="shared" si="0"/>
        <v>17</v>
      </c>
      <c r="B18" s="12" t="s">
        <v>14</v>
      </c>
      <c r="C18" s="13"/>
      <c r="D18" s="15"/>
      <c r="E18" s="15"/>
      <c r="F18" s="10">
        <v>1.041666666666667E-2</v>
      </c>
      <c r="G18" s="11"/>
    </row>
    <row r="19" spans="1:7" x14ac:dyDescent="0.25">
      <c r="A19" s="6">
        <f t="shared" si="0"/>
        <v>18</v>
      </c>
      <c r="B19" s="97" t="s">
        <v>150</v>
      </c>
      <c r="C19" s="13"/>
      <c r="D19" s="15"/>
      <c r="E19" s="15"/>
      <c r="F19" s="10">
        <v>1.7361111111111108E-2</v>
      </c>
      <c r="G19" s="11"/>
    </row>
    <row r="20" spans="1:7" x14ac:dyDescent="0.25">
      <c r="A20" s="6">
        <f t="shared" si="0"/>
        <v>19</v>
      </c>
      <c r="B20" s="12" t="s">
        <v>151</v>
      </c>
      <c r="C20" s="13"/>
      <c r="D20" s="15"/>
      <c r="E20" s="15"/>
      <c r="F20" s="10">
        <v>1.388888888888889E-2</v>
      </c>
      <c r="G20" s="11"/>
    </row>
    <row r="21" spans="1:7" ht="15" customHeight="1" thickBot="1" x14ac:dyDescent="0.3">
      <c r="A21" s="6">
        <f t="shared" si="0"/>
        <v>20</v>
      </c>
      <c r="B21" s="12"/>
      <c r="C21" s="16"/>
      <c r="D21" s="17"/>
      <c r="E21" s="15"/>
      <c r="F21" s="10">
        <f>D21-C21</f>
        <v>0</v>
      </c>
      <c r="G21" s="11"/>
    </row>
    <row r="22" spans="1:7" ht="15" customHeight="1" thickBot="1" x14ac:dyDescent="0.3">
      <c r="A22" s="18"/>
      <c r="B22" s="19" t="s">
        <v>16</v>
      </c>
      <c r="C22" s="20"/>
      <c r="D22" s="20"/>
      <c r="E22" s="21"/>
      <c r="F22" s="22">
        <f>SUM(F2:F21)</f>
        <v>0.32430555555555551</v>
      </c>
      <c r="G22" s="23"/>
    </row>
    <row r="25" spans="1:7" ht="15" customHeight="1" thickBot="1" x14ac:dyDescent="0.3"/>
    <row r="26" spans="1:7" ht="15" customHeight="1" thickBot="1" x14ac:dyDescent="0.3">
      <c r="A26" s="64" t="s">
        <v>0</v>
      </c>
      <c r="B26" s="65" t="s">
        <v>1</v>
      </c>
      <c r="C26" s="64" t="s">
        <v>33</v>
      </c>
    </row>
    <row r="27" spans="1:7" x14ac:dyDescent="0.25">
      <c r="A27" s="75">
        <v>1</v>
      </c>
      <c r="B27" s="66" t="s">
        <v>7</v>
      </c>
      <c r="C27" s="72">
        <v>2.361111111111111E-2</v>
      </c>
    </row>
    <row r="28" spans="1:7" x14ac:dyDescent="0.25">
      <c r="A28" s="75">
        <v>2</v>
      </c>
      <c r="B28" s="66" t="s">
        <v>9</v>
      </c>
      <c r="C28" s="72">
        <v>2.2916666666666669E-2</v>
      </c>
    </row>
    <row r="29" spans="1:7" x14ac:dyDescent="0.25">
      <c r="A29" s="75">
        <v>3</v>
      </c>
      <c r="B29" s="66" t="s">
        <v>10</v>
      </c>
      <c r="C29" s="72">
        <v>6.9444444444444441E-3</v>
      </c>
    </row>
    <row r="30" spans="1:7" x14ac:dyDescent="0.25">
      <c r="A30" s="75">
        <v>4</v>
      </c>
      <c r="B30" s="66" t="s">
        <v>140</v>
      </c>
      <c r="C30" s="72">
        <v>1.388888888888889E-2</v>
      </c>
    </row>
    <row r="31" spans="1:7" x14ac:dyDescent="0.25">
      <c r="A31" s="75">
        <v>5</v>
      </c>
      <c r="B31" s="66" t="s">
        <v>141</v>
      </c>
      <c r="C31" s="72">
        <v>1.041666666666667E-2</v>
      </c>
    </row>
    <row r="32" spans="1:7" x14ac:dyDescent="0.25">
      <c r="A32" s="75">
        <v>6</v>
      </c>
      <c r="B32" s="66" t="s">
        <v>142</v>
      </c>
      <c r="C32" s="72">
        <v>1.7361111111111108E-2</v>
      </c>
      <c r="G32" t="s">
        <v>152</v>
      </c>
    </row>
    <row r="33" spans="1:3" x14ac:dyDescent="0.25">
      <c r="A33" s="75">
        <v>7</v>
      </c>
      <c r="B33" s="66" t="s">
        <v>143</v>
      </c>
      <c r="C33" s="72">
        <v>6.9444444444444441E-3</v>
      </c>
    </row>
    <row r="34" spans="1:3" x14ac:dyDescent="0.25">
      <c r="A34" s="75">
        <v>8</v>
      </c>
      <c r="B34" s="66" t="s">
        <v>144</v>
      </c>
      <c r="C34" s="72">
        <v>1.7361111111111108E-2</v>
      </c>
    </row>
    <row r="35" spans="1:3" x14ac:dyDescent="0.25">
      <c r="A35" s="75">
        <v>9</v>
      </c>
      <c r="B35" s="66" t="s">
        <v>145</v>
      </c>
      <c r="C35" s="72">
        <v>3.125E-2</v>
      </c>
    </row>
    <row r="36" spans="1:3" x14ac:dyDescent="0.25">
      <c r="A36" s="75">
        <v>10</v>
      </c>
      <c r="B36" s="66" t="s">
        <v>141</v>
      </c>
      <c r="C36" s="72">
        <v>2.0833333333333329E-2</v>
      </c>
    </row>
    <row r="37" spans="1:3" x14ac:dyDescent="0.25">
      <c r="A37" s="75">
        <v>11</v>
      </c>
      <c r="B37" s="66" t="s">
        <v>153</v>
      </c>
      <c r="C37" s="72">
        <v>1.7361111111111108E-2</v>
      </c>
    </row>
    <row r="38" spans="1:3" x14ac:dyDescent="0.25">
      <c r="A38" s="75">
        <v>12</v>
      </c>
      <c r="B38" s="66" t="s">
        <v>147</v>
      </c>
      <c r="C38" s="72">
        <v>1.388888888888889E-2</v>
      </c>
    </row>
    <row r="39" spans="1:3" x14ac:dyDescent="0.25">
      <c r="A39" s="75">
        <v>13</v>
      </c>
      <c r="B39" s="66" t="s">
        <v>148</v>
      </c>
      <c r="C39" s="72">
        <v>6.9444444444444441E-3</v>
      </c>
    </row>
    <row r="40" spans="1:3" x14ac:dyDescent="0.25">
      <c r="A40" s="75">
        <v>14</v>
      </c>
      <c r="B40" s="66" t="s">
        <v>149</v>
      </c>
      <c r="C40" s="72">
        <v>2.0833333333333329E-2</v>
      </c>
    </row>
    <row r="41" spans="1:3" x14ac:dyDescent="0.25">
      <c r="A41" s="75">
        <v>15</v>
      </c>
      <c r="B41" s="66" t="s">
        <v>12</v>
      </c>
      <c r="C41" s="72">
        <v>1.041666666666667E-2</v>
      </c>
    </row>
    <row r="42" spans="1:3" x14ac:dyDescent="0.25">
      <c r="A42" s="75">
        <v>16</v>
      </c>
      <c r="B42" s="66" t="s">
        <v>13</v>
      </c>
      <c r="C42" s="72">
        <v>4.1666666666666657E-2</v>
      </c>
    </row>
    <row r="43" spans="1:3" x14ac:dyDescent="0.25">
      <c r="A43" s="75">
        <v>17</v>
      </c>
      <c r="B43" s="66" t="s">
        <v>14</v>
      </c>
      <c r="C43" s="72">
        <v>1.041666666666667E-2</v>
      </c>
    </row>
    <row r="44" spans="1:3" x14ac:dyDescent="0.25">
      <c r="A44" s="75">
        <v>18</v>
      </c>
      <c r="B44" s="66" t="s">
        <v>150</v>
      </c>
      <c r="C44" s="72">
        <v>1.7361111111111108E-2</v>
      </c>
    </row>
    <row r="45" spans="1:3" x14ac:dyDescent="0.25">
      <c r="A45" s="75">
        <v>19</v>
      </c>
      <c r="B45" s="66" t="s">
        <v>151</v>
      </c>
      <c r="C45" s="72">
        <v>1.388888888888889E-2</v>
      </c>
    </row>
    <row r="46" spans="1:3" x14ac:dyDescent="0.25">
      <c r="C46" s="29">
        <f>SUM(C27:C45)</f>
        <v>0.32430555555555557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2"/>
  <sheetViews>
    <sheetView topLeftCell="A28" workbookViewId="0">
      <selection activeCell="B37" sqref="B37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10.140625" bestFit="1" customWidth="1"/>
    <col min="9" max="9" width="109" bestFit="1" customWidth="1"/>
    <col min="17" max="18" width="8.85546875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7" si="0">ROW() - ROW($A$1)</f>
        <v>1</v>
      </c>
      <c r="B2" s="7" t="s">
        <v>154</v>
      </c>
      <c r="C2" s="8">
        <v>0.3923611111111111</v>
      </c>
      <c r="D2" s="9">
        <v>0.4</v>
      </c>
      <c r="E2" s="9">
        <v>1.388888888888889E-2</v>
      </c>
      <c r="F2" s="10">
        <f t="shared" ref="F2:F8" si="1">D2-C2</f>
        <v>7.6388888888889173E-3</v>
      </c>
      <c r="G2" s="11" t="s">
        <v>155</v>
      </c>
      <c r="I2" s="39" t="s">
        <v>8</v>
      </c>
    </row>
    <row r="3" spans="1:9" x14ac:dyDescent="0.25">
      <c r="A3" s="6">
        <f t="shared" si="0"/>
        <v>2</v>
      </c>
      <c r="B3" s="12" t="s">
        <v>9</v>
      </c>
      <c r="C3" s="13">
        <v>0.4</v>
      </c>
      <c r="D3" s="10">
        <v>0.40555555555555561</v>
      </c>
      <c r="E3" s="10">
        <v>1.7361111111111108E-2</v>
      </c>
      <c r="F3" s="10">
        <f t="shared" si="1"/>
        <v>5.5555555555555913E-3</v>
      </c>
      <c r="G3" s="11" t="s">
        <v>155</v>
      </c>
    </row>
    <row r="4" spans="1:9" x14ac:dyDescent="0.25">
      <c r="A4" s="6">
        <f t="shared" si="0"/>
        <v>3</v>
      </c>
      <c r="B4" s="12" t="s">
        <v>156</v>
      </c>
      <c r="C4" s="13">
        <v>0.4152777777777778</v>
      </c>
      <c r="D4" s="10">
        <v>0.42916666666666659</v>
      </c>
      <c r="E4" s="10">
        <v>6.9444444444444441E-3</v>
      </c>
      <c r="F4" s="10">
        <f t="shared" si="1"/>
        <v>1.3888888888888784E-2</v>
      </c>
      <c r="G4" s="11" t="s">
        <v>155</v>
      </c>
      <c r="I4" s="100" t="s">
        <v>157</v>
      </c>
    </row>
    <row r="5" spans="1:9" x14ac:dyDescent="0.25">
      <c r="A5" s="6">
        <f t="shared" si="0"/>
        <v>4</v>
      </c>
      <c r="B5" s="12" t="s">
        <v>15</v>
      </c>
      <c r="C5" s="13">
        <v>0.43055555555555558</v>
      </c>
      <c r="D5" s="10">
        <v>0.43402777777777779</v>
      </c>
      <c r="E5" s="10">
        <v>4.1666666666666657E-2</v>
      </c>
      <c r="F5" s="10">
        <f t="shared" si="1"/>
        <v>3.4722222222222099E-3</v>
      </c>
      <c r="G5" s="11" t="s">
        <v>155</v>
      </c>
      <c r="I5" s="101" t="s">
        <v>158</v>
      </c>
    </row>
    <row r="6" spans="1:9" x14ac:dyDescent="0.25">
      <c r="A6" s="6">
        <f t="shared" si="0"/>
        <v>5</v>
      </c>
      <c r="B6" s="12" t="s">
        <v>159</v>
      </c>
      <c r="C6" s="13">
        <v>0.43055555555555558</v>
      </c>
      <c r="D6" s="10">
        <v>0.44097222222222221</v>
      </c>
      <c r="E6" s="10"/>
      <c r="F6" s="10">
        <f t="shared" si="1"/>
        <v>1.041666666666663E-2</v>
      </c>
      <c r="G6" s="11" t="s">
        <v>155</v>
      </c>
      <c r="I6" s="101" t="s">
        <v>160</v>
      </c>
    </row>
    <row r="7" spans="1:9" x14ac:dyDescent="0.25">
      <c r="A7" s="6">
        <f t="shared" si="0"/>
        <v>6</v>
      </c>
      <c r="B7" s="97" t="s">
        <v>161</v>
      </c>
      <c r="C7" s="13">
        <v>0.44791666666666669</v>
      </c>
      <c r="D7" s="10">
        <v>0.45833333333333331</v>
      </c>
      <c r="E7" s="10"/>
      <c r="F7" s="10">
        <f t="shared" si="1"/>
        <v>1.041666666666663E-2</v>
      </c>
      <c r="G7" s="11" t="s">
        <v>155</v>
      </c>
      <c r="I7" s="101" t="s">
        <v>162</v>
      </c>
    </row>
    <row r="8" spans="1:9" x14ac:dyDescent="0.25">
      <c r="A8" s="6">
        <f t="shared" si="0"/>
        <v>7</v>
      </c>
      <c r="B8" s="12" t="s">
        <v>163</v>
      </c>
      <c r="C8" s="13">
        <v>0.45833333333333331</v>
      </c>
      <c r="D8" s="10">
        <v>0.49305555555555558</v>
      </c>
      <c r="E8" s="10"/>
      <c r="F8" s="10">
        <f t="shared" si="1"/>
        <v>3.4722222222222265E-2</v>
      </c>
      <c r="G8" s="11" t="s">
        <v>155</v>
      </c>
    </row>
    <row r="9" spans="1:9" x14ac:dyDescent="0.25">
      <c r="A9" s="6">
        <f t="shared" si="0"/>
        <v>8</v>
      </c>
      <c r="B9" s="12" t="s">
        <v>164</v>
      </c>
      <c r="C9" s="13">
        <v>0.50277777777777777</v>
      </c>
      <c r="D9" s="10">
        <v>0.51041666666666663</v>
      </c>
      <c r="E9" s="10"/>
      <c r="F9" s="10">
        <v>1.388888888888889E-2</v>
      </c>
      <c r="G9" s="11" t="s">
        <v>165</v>
      </c>
    </row>
    <row r="10" spans="1:9" x14ac:dyDescent="0.25">
      <c r="A10" s="6">
        <f t="shared" si="0"/>
        <v>9</v>
      </c>
      <c r="B10" s="98" t="s">
        <v>166</v>
      </c>
      <c r="C10" s="13">
        <v>0.51041666666666663</v>
      </c>
      <c r="D10" s="15">
        <v>0.52083333333333337</v>
      </c>
      <c r="E10" s="15"/>
      <c r="F10" s="10">
        <f t="shared" ref="F10:F22" si="2">D10-C10</f>
        <v>1.0416666666666741E-2</v>
      </c>
      <c r="G10" s="11" t="s">
        <v>155</v>
      </c>
    </row>
    <row r="11" spans="1:9" ht="30" customHeight="1" x14ac:dyDescent="0.25">
      <c r="A11" s="6">
        <f t="shared" si="0"/>
        <v>10</v>
      </c>
      <c r="B11" s="12" t="s">
        <v>167</v>
      </c>
      <c r="C11" s="13">
        <v>0.52083333333333337</v>
      </c>
      <c r="D11" s="15">
        <v>0.53472222222222221</v>
      </c>
      <c r="E11" s="15"/>
      <c r="F11" s="13">
        <f t="shared" si="2"/>
        <v>1.388888888888884E-2</v>
      </c>
      <c r="G11" s="11" t="s">
        <v>155</v>
      </c>
    </row>
    <row r="12" spans="1:9" x14ac:dyDescent="0.25">
      <c r="A12" s="6">
        <f t="shared" si="0"/>
        <v>11</v>
      </c>
      <c r="B12" s="99" t="s">
        <v>168</v>
      </c>
      <c r="C12" s="13">
        <v>5.9027777777777783E-2</v>
      </c>
      <c r="D12" s="15">
        <v>7.2916666666666671E-2</v>
      </c>
      <c r="E12" s="15"/>
      <c r="F12" s="13">
        <f t="shared" si="2"/>
        <v>1.3888888888888888E-2</v>
      </c>
      <c r="G12" s="11" t="s">
        <v>155</v>
      </c>
    </row>
    <row r="13" spans="1:9" x14ac:dyDescent="0.25">
      <c r="A13" s="6">
        <f t="shared" si="0"/>
        <v>12</v>
      </c>
      <c r="B13" s="99" t="s">
        <v>169</v>
      </c>
      <c r="C13" s="13">
        <v>0.11805555555555559</v>
      </c>
      <c r="D13" s="15">
        <v>0.2013888888888889</v>
      </c>
      <c r="E13" s="15"/>
      <c r="F13" s="13">
        <f t="shared" si="2"/>
        <v>8.3333333333333301E-2</v>
      </c>
      <c r="G13" s="11" t="s">
        <v>155</v>
      </c>
    </row>
    <row r="14" spans="1:9" x14ac:dyDescent="0.25">
      <c r="A14" s="6">
        <f t="shared" si="0"/>
        <v>13</v>
      </c>
      <c r="B14" s="12" t="s">
        <v>170</v>
      </c>
      <c r="C14" s="13">
        <v>0.2013888888888889</v>
      </c>
      <c r="D14" s="15">
        <v>0.20833333333333329</v>
      </c>
      <c r="E14" s="15"/>
      <c r="F14" s="10">
        <f t="shared" si="2"/>
        <v>6.944444444444392E-3</v>
      </c>
      <c r="G14" s="11" t="s">
        <v>155</v>
      </c>
    </row>
    <row r="15" spans="1:9" x14ac:dyDescent="0.25">
      <c r="A15" s="6">
        <f t="shared" si="0"/>
        <v>14</v>
      </c>
      <c r="B15" s="99" t="s">
        <v>171</v>
      </c>
      <c r="C15" s="13">
        <v>0.20833333333333329</v>
      </c>
      <c r="D15" s="15">
        <v>0.21527777777777779</v>
      </c>
      <c r="E15" s="15"/>
      <c r="F15" s="10">
        <f t="shared" si="2"/>
        <v>6.944444444444503E-3</v>
      </c>
      <c r="G15" s="11" t="s">
        <v>155</v>
      </c>
    </row>
    <row r="16" spans="1:9" x14ac:dyDescent="0.25">
      <c r="A16" s="6">
        <f t="shared" si="0"/>
        <v>15</v>
      </c>
      <c r="B16" s="99" t="s">
        <v>172</v>
      </c>
      <c r="C16" s="13">
        <v>0.21875</v>
      </c>
      <c r="D16" s="15">
        <v>0.24652777777777779</v>
      </c>
      <c r="E16" s="15"/>
      <c r="F16" s="10">
        <f t="shared" si="2"/>
        <v>2.777777777777779E-2</v>
      </c>
      <c r="G16" s="11" t="s">
        <v>155</v>
      </c>
    </row>
    <row r="17" spans="1:7" x14ac:dyDescent="0.25">
      <c r="A17" s="6">
        <f t="shared" si="0"/>
        <v>16</v>
      </c>
      <c r="B17" s="99" t="s">
        <v>173</v>
      </c>
      <c r="C17" s="13">
        <v>0.24652777777777779</v>
      </c>
      <c r="D17" s="15">
        <v>0.25694444444444442</v>
      </c>
      <c r="E17" s="15"/>
      <c r="F17" s="10">
        <f t="shared" si="2"/>
        <v>1.041666666666663E-2</v>
      </c>
      <c r="G17" s="11" t="s">
        <v>155</v>
      </c>
    </row>
    <row r="18" spans="1:7" x14ac:dyDescent="0.25">
      <c r="A18" s="6">
        <f t="shared" si="0"/>
        <v>17</v>
      </c>
      <c r="B18" s="99" t="s">
        <v>12</v>
      </c>
      <c r="C18" s="13">
        <v>0.25694444444444442</v>
      </c>
      <c r="D18" s="15">
        <v>0.2638888888888889</v>
      </c>
      <c r="E18" s="15"/>
      <c r="F18" s="10">
        <f t="shared" si="2"/>
        <v>6.9444444444444753E-3</v>
      </c>
      <c r="G18" s="11" t="s">
        <v>155</v>
      </c>
    </row>
    <row r="19" spans="1:7" x14ac:dyDescent="0.25">
      <c r="A19" s="6">
        <f t="shared" si="0"/>
        <v>18</v>
      </c>
      <c r="B19" s="99" t="s">
        <v>13</v>
      </c>
      <c r="C19" s="13">
        <v>0.3125</v>
      </c>
      <c r="D19" s="15">
        <v>0.35416666666666669</v>
      </c>
      <c r="E19" s="15"/>
      <c r="F19" s="10">
        <f t="shared" si="2"/>
        <v>4.1666666666666685E-2</v>
      </c>
      <c r="G19" s="11" t="s">
        <v>155</v>
      </c>
    </row>
    <row r="20" spans="1:7" x14ac:dyDescent="0.25">
      <c r="A20" s="6">
        <f t="shared" si="0"/>
        <v>19</v>
      </c>
      <c r="B20" s="99" t="s">
        <v>14</v>
      </c>
      <c r="C20" s="13">
        <v>0.35416666666666669</v>
      </c>
      <c r="D20" s="15">
        <v>0.3611111111111111</v>
      </c>
      <c r="E20" s="15"/>
      <c r="F20" s="10">
        <f t="shared" si="2"/>
        <v>6.9444444444444198E-3</v>
      </c>
      <c r="G20" s="11" t="s">
        <v>155</v>
      </c>
    </row>
    <row r="21" spans="1:7" x14ac:dyDescent="0.25">
      <c r="A21" s="6">
        <f t="shared" si="0"/>
        <v>20</v>
      </c>
      <c r="B21" s="99" t="s">
        <v>15</v>
      </c>
      <c r="C21" s="13">
        <v>0.3611111111111111</v>
      </c>
      <c r="D21" s="15">
        <v>0.36805555555555558</v>
      </c>
      <c r="E21" s="15"/>
      <c r="F21" s="10">
        <f t="shared" si="2"/>
        <v>6.9444444444444753E-3</v>
      </c>
      <c r="G21" s="11" t="s">
        <v>155</v>
      </c>
    </row>
    <row r="22" spans="1:7" x14ac:dyDescent="0.25">
      <c r="A22" s="6">
        <f t="shared" si="0"/>
        <v>21</v>
      </c>
      <c r="B22" s="99" t="s">
        <v>100</v>
      </c>
      <c r="C22" s="13">
        <v>0.36805555555555558</v>
      </c>
      <c r="D22" s="15">
        <v>0.375</v>
      </c>
      <c r="E22" s="15"/>
      <c r="F22" s="10">
        <f t="shared" si="2"/>
        <v>6.9444444444444198E-3</v>
      </c>
      <c r="G22" s="11" t="s">
        <v>155</v>
      </c>
    </row>
    <row r="23" spans="1:7" x14ac:dyDescent="0.25">
      <c r="A23" s="6">
        <f t="shared" si="0"/>
        <v>22</v>
      </c>
      <c r="B23" s="99" t="s">
        <v>174</v>
      </c>
      <c r="C23" s="13">
        <v>0.70833333333333337</v>
      </c>
      <c r="D23" s="15">
        <v>4.1666666666666657E-2</v>
      </c>
      <c r="E23" s="15"/>
      <c r="F23" s="10">
        <v>0.33333333333333331</v>
      </c>
      <c r="G23" s="11" t="s">
        <v>155</v>
      </c>
    </row>
    <row r="24" spans="1:7" x14ac:dyDescent="0.25">
      <c r="A24" s="6">
        <f t="shared" si="0"/>
        <v>23</v>
      </c>
      <c r="B24" s="99"/>
      <c r="C24" s="13"/>
      <c r="D24" s="15"/>
      <c r="E24" s="15"/>
      <c r="F24" s="10"/>
      <c r="G24" s="11"/>
    </row>
    <row r="25" spans="1:7" x14ac:dyDescent="0.25">
      <c r="A25" s="6">
        <f t="shared" si="0"/>
        <v>24</v>
      </c>
      <c r="B25" s="99"/>
      <c r="C25" s="13"/>
      <c r="D25" s="15"/>
      <c r="E25" s="15"/>
      <c r="F25" s="10"/>
      <c r="G25" s="11"/>
    </row>
    <row r="26" spans="1:7" x14ac:dyDescent="0.25">
      <c r="A26" s="6">
        <f t="shared" si="0"/>
        <v>25</v>
      </c>
      <c r="B26" s="99"/>
      <c r="C26" s="13"/>
      <c r="D26" s="15"/>
      <c r="E26" s="15"/>
      <c r="F26" s="10"/>
      <c r="G26" s="11"/>
    </row>
    <row r="27" spans="1:7" ht="15" customHeight="1" thickBot="1" x14ac:dyDescent="0.3">
      <c r="A27" s="102">
        <f t="shared" si="0"/>
        <v>26</v>
      </c>
      <c r="B27" s="103"/>
      <c r="C27" s="104"/>
      <c r="D27" s="15"/>
      <c r="E27" s="15"/>
      <c r="F27" s="15"/>
      <c r="G27" s="105"/>
    </row>
    <row r="28" spans="1:7" ht="15" customHeight="1" thickBot="1" x14ac:dyDescent="0.3">
      <c r="A28" s="18"/>
      <c r="B28" s="19" t="s">
        <v>16</v>
      </c>
      <c r="C28" s="106"/>
      <c r="D28" s="106"/>
      <c r="E28" s="21"/>
      <c r="F28" s="22">
        <f>SUM(F2:F22)</f>
        <v>0.3430555555555555</v>
      </c>
      <c r="G28" s="107"/>
    </row>
    <row r="30" spans="1:7" ht="15" customHeight="1" thickBot="1" x14ac:dyDescent="0.3"/>
    <row r="31" spans="1:7" ht="15" customHeight="1" thickBot="1" x14ac:dyDescent="0.3">
      <c r="A31" s="64" t="s">
        <v>101</v>
      </c>
      <c r="B31" s="65" t="s">
        <v>1</v>
      </c>
      <c r="C31" s="64" t="s">
        <v>33</v>
      </c>
    </row>
    <row r="32" spans="1:7" x14ac:dyDescent="0.25">
      <c r="A32" s="75">
        <v>1</v>
      </c>
      <c r="B32" s="66" t="s">
        <v>154</v>
      </c>
      <c r="C32" s="72">
        <v>7.6388888888888886E-3</v>
      </c>
    </row>
    <row r="33" spans="1:3" x14ac:dyDescent="0.25">
      <c r="A33" s="75">
        <v>2</v>
      </c>
      <c r="B33" s="66" t="s">
        <v>9</v>
      </c>
      <c r="C33" s="72">
        <v>5.5555555555555558E-3</v>
      </c>
    </row>
    <row r="34" spans="1:3" x14ac:dyDescent="0.25">
      <c r="A34" s="75">
        <v>3</v>
      </c>
      <c r="B34" s="66" t="s">
        <v>156</v>
      </c>
      <c r="C34" s="72">
        <v>1.388888888888889E-2</v>
      </c>
    </row>
    <row r="35" spans="1:3" x14ac:dyDescent="0.25">
      <c r="A35" s="75">
        <v>4</v>
      </c>
      <c r="B35" s="66" t="s">
        <v>15</v>
      </c>
      <c r="C35" s="72">
        <v>3.472222222222222E-3</v>
      </c>
    </row>
    <row r="36" spans="1:3" x14ac:dyDescent="0.25">
      <c r="A36" s="75">
        <v>5</v>
      </c>
      <c r="B36" s="66" t="s">
        <v>159</v>
      </c>
      <c r="C36" s="72">
        <v>1.041666666666667E-2</v>
      </c>
    </row>
    <row r="37" spans="1:3" x14ac:dyDescent="0.25">
      <c r="A37" s="75">
        <v>6</v>
      </c>
      <c r="B37" s="66" t="s">
        <v>161</v>
      </c>
      <c r="C37" s="72">
        <v>1.041666666666667E-2</v>
      </c>
    </row>
    <row r="38" spans="1:3" x14ac:dyDescent="0.25">
      <c r="A38" s="75">
        <v>7</v>
      </c>
      <c r="B38" s="66" t="s">
        <v>163</v>
      </c>
      <c r="C38" s="72">
        <v>3.4722222222222217E-2</v>
      </c>
    </row>
    <row r="39" spans="1:3" x14ac:dyDescent="0.25">
      <c r="A39" s="75">
        <v>8</v>
      </c>
      <c r="B39" s="66" t="s">
        <v>166</v>
      </c>
      <c r="C39" s="72">
        <v>1.041666666666667E-2</v>
      </c>
    </row>
    <row r="40" spans="1:3" x14ac:dyDescent="0.25">
      <c r="A40" s="75">
        <v>9</v>
      </c>
      <c r="B40" s="66" t="s">
        <v>167</v>
      </c>
      <c r="C40" s="72">
        <v>1.388888888888889E-2</v>
      </c>
    </row>
    <row r="41" spans="1:3" x14ac:dyDescent="0.25">
      <c r="A41" s="75">
        <v>10</v>
      </c>
      <c r="B41" s="66" t="s">
        <v>175</v>
      </c>
      <c r="C41" s="72">
        <v>1.388888888888889E-2</v>
      </c>
    </row>
    <row r="42" spans="1:3" x14ac:dyDescent="0.25">
      <c r="A42" s="75">
        <v>11</v>
      </c>
      <c r="B42" s="66" t="s">
        <v>176</v>
      </c>
      <c r="C42" s="72">
        <v>8.3333333333333329E-2</v>
      </c>
    </row>
    <row r="43" spans="1:3" x14ac:dyDescent="0.25">
      <c r="A43" s="75">
        <v>12</v>
      </c>
      <c r="B43" s="66" t="s">
        <v>170</v>
      </c>
      <c r="C43" s="72">
        <v>6.9444444444444441E-3</v>
      </c>
    </row>
    <row r="44" spans="1:3" x14ac:dyDescent="0.25">
      <c r="A44" s="75">
        <v>13</v>
      </c>
      <c r="B44" s="66" t="s">
        <v>171</v>
      </c>
      <c r="C44" s="72">
        <v>6.9444444444444441E-3</v>
      </c>
    </row>
    <row r="45" spans="1:3" x14ac:dyDescent="0.25">
      <c r="A45" s="75">
        <v>14</v>
      </c>
      <c r="B45" s="66" t="s">
        <v>172</v>
      </c>
      <c r="C45" s="72">
        <v>2.777777777777778E-2</v>
      </c>
    </row>
    <row r="46" spans="1:3" x14ac:dyDescent="0.25">
      <c r="A46" s="75">
        <v>15</v>
      </c>
      <c r="B46" s="66" t="s">
        <v>177</v>
      </c>
      <c r="C46" s="72">
        <v>1.041666666666667E-2</v>
      </c>
    </row>
    <row r="47" spans="1:3" x14ac:dyDescent="0.25">
      <c r="A47" s="75">
        <v>16</v>
      </c>
      <c r="B47" s="66" t="s">
        <v>12</v>
      </c>
      <c r="C47" s="72">
        <v>6.9444444444444441E-3</v>
      </c>
    </row>
    <row r="48" spans="1:3" x14ac:dyDescent="0.25">
      <c r="A48" s="75">
        <v>17</v>
      </c>
      <c r="B48" s="66" t="s">
        <v>13</v>
      </c>
      <c r="C48" s="72">
        <v>4.1666666666666657E-2</v>
      </c>
    </row>
    <row r="49" spans="1:3" x14ac:dyDescent="0.25">
      <c r="A49" s="75">
        <v>18</v>
      </c>
      <c r="B49" s="66" t="s">
        <v>14</v>
      </c>
      <c r="C49" s="72">
        <v>6.9444444444444441E-3</v>
      </c>
    </row>
    <row r="50" spans="1:3" x14ac:dyDescent="0.25">
      <c r="A50" s="75">
        <v>19</v>
      </c>
      <c r="B50" s="66" t="s">
        <v>15</v>
      </c>
      <c r="C50" s="72">
        <v>6.9444444444444441E-3</v>
      </c>
    </row>
    <row r="51" spans="1:3" x14ac:dyDescent="0.25">
      <c r="A51" s="75">
        <v>20</v>
      </c>
      <c r="B51" s="66" t="s">
        <v>100</v>
      </c>
      <c r="C51" s="72">
        <v>6.9444444444444441E-3</v>
      </c>
    </row>
    <row r="52" spans="1:3" ht="15" customHeight="1" thickBot="1" x14ac:dyDescent="0.3">
      <c r="A52" s="94">
        <v>21</v>
      </c>
      <c r="B52" s="95" t="s">
        <v>174</v>
      </c>
      <c r="C52" s="96">
        <v>0.33333333333333331</v>
      </c>
    </row>
  </sheetData>
  <conditionalFormatting sqref="G2:G28">
    <cfRule type="expression" dxfId="17" priority="1">
      <formula>SEARCH("In-Progress", G2)</formula>
    </cfRule>
    <cfRule type="expression" dxfId="16" priority="2">
      <formula>SEARCH("Incomplete", G2)</formula>
    </cfRule>
    <cfRule type="expression" dxfId="15" priority="3">
      <formula>SEARCH("Completed", G2)</formula>
    </cfRule>
  </conditionalFormatting>
  <dataValidations count="1">
    <dataValidation type="list" allowBlank="1" showInputMessage="1" showErrorMessage="1" sqref="G2:G28" xr:uid="{00000000-0002-0000-0600-000000000000}">
      <formula1>"Completed, Incomplete, In-Progress"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9"/>
  <sheetViews>
    <sheetView workbookViewId="0">
      <selection activeCell="B32" sqref="B32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" customHeight="1" thickBot="1" x14ac:dyDescent="0.3">
      <c r="A1" s="1" t="s">
        <v>17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v>1</v>
      </c>
      <c r="B2" s="7" t="s">
        <v>178</v>
      </c>
      <c r="C2" s="8">
        <v>0.52430555555555558</v>
      </c>
      <c r="D2" s="9"/>
      <c r="E2" s="9"/>
      <c r="F2" s="10">
        <v>1.7361111111111108E-2</v>
      </c>
      <c r="G2" s="11"/>
      <c r="I2" s="39" t="s">
        <v>8</v>
      </c>
    </row>
    <row r="3" spans="1:9" ht="30" customHeight="1" x14ac:dyDescent="0.25">
      <c r="A3" s="6">
        <v>2</v>
      </c>
      <c r="B3" s="12" t="s">
        <v>179</v>
      </c>
      <c r="C3" s="13">
        <v>0.52777777777777779</v>
      </c>
      <c r="D3" s="10">
        <v>0.53819444444444442</v>
      </c>
      <c r="E3" s="10"/>
      <c r="F3" s="10">
        <v>0.1041666666666667</v>
      </c>
      <c r="G3" s="11"/>
    </row>
    <row r="4" spans="1:9" ht="28.9" customHeight="1" x14ac:dyDescent="0.25">
      <c r="A4" s="6">
        <v>3</v>
      </c>
      <c r="B4" s="12" t="s">
        <v>180</v>
      </c>
      <c r="C4" s="13"/>
      <c r="D4" s="10"/>
      <c r="E4" s="10"/>
      <c r="F4" s="10">
        <v>6.25E-2</v>
      </c>
      <c r="G4" s="11"/>
    </row>
    <row r="5" spans="1:9" ht="28.9" customHeight="1" x14ac:dyDescent="0.25">
      <c r="A5" s="6">
        <v>4</v>
      </c>
      <c r="B5" s="12" t="s">
        <v>181</v>
      </c>
      <c r="C5" s="13"/>
      <c r="D5" s="10"/>
      <c r="E5" s="10"/>
      <c r="F5" s="10">
        <v>1.388888888888889E-2</v>
      </c>
      <c r="G5" s="11"/>
    </row>
    <row r="6" spans="1:9" x14ac:dyDescent="0.25">
      <c r="A6" s="6">
        <v>5</v>
      </c>
      <c r="B6" s="12" t="s">
        <v>182</v>
      </c>
      <c r="C6" s="13"/>
      <c r="D6" s="10"/>
      <c r="E6" s="10"/>
      <c r="F6" s="10">
        <v>6.9444444444444441E-3</v>
      </c>
      <c r="G6" s="11"/>
    </row>
    <row r="7" spans="1:9" x14ac:dyDescent="0.25">
      <c r="A7" s="6">
        <v>6</v>
      </c>
      <c r="B7" s="97" t="s">
        <v>12</v>
      </c>
      <c r="C7" s="13"/>
      <c r="D7" s="10"/>
      <c r="E7" s="10"/>
      <c r="F7" s="10">
        <v>1.388888888888889E-2</v>
      </c>
      <c r="G7" s="11"/>
    </row>
    <row r="8" spans="1:9" x14ac:dyDescent="0.25">
      <c r="A8" s="6">
        <v>7</v>
      </c>
      <c r="B8" s="12" t="s">
        <v>183</v>
      </c>
      <c r="C8" s="13"/>
      <c r="D8" s="10"/>
      <c r="E8" s="10"/>
      <c r="F8" s="13">
        <v>5.2083333333333343E-2</v>
      </c>
      <c r="G8" s="11"/>
    </row>
    <row r="9" spans="1:9" x14ac:dyDescent="0.25">
      <c r="A9" s="6">
        <v>8</v>
      </c>
      <c r="B9" s="12" t="s">
        <v>184</v>
      </c>
      <c r="C9" s="13"/>
      <c r="D9" s="10"/>
      <c r="E9" s="10"/>
      <c r="F9" s="10">
        <v>1.388888888888889E-2</v>
      </c>
      <c r="G9" s="11"/>
    </row>
    <row r="10" spans="1:9" x14ac:dyDescent="0.25">
      <c r="A10" s="6">
        <v>9</v>
      </c>
      <c r="B10" s="98" t="s">
        <v>15</v>
      </c>
      <c r="C10" s="13"/>
      <c r="D10" s="10"/>
      <c r="E10" s="10"/>
      <c r="F10" s="10">
        <v>1.041666666666667E-2</v>
      </c>
      <c r="G10" s="11"/>
    </row>
    <row r="11" spans="1:9" x14ac:dyDescent="0.25">
      <c r="A11" s="6">
        <f t="shared" ref="A11:A21" si="0">ROW() - ROW($A$1)</f>
        <v>10</v>
      </c>
      <c r="B11" s="12"/>
      <c r="C11" s="13"/>
      <c r="D11" s="15"/>
      <c r="E11" s="15"/>
      <c r="F11" s="10">
        <f t="shared" ref="F11:F21" si="1">D11-C11</f>
        <v>0</v>
      </c>
      <c r="G11" s="11"/>
    </row>
    <row r="12" spans="1:9" x14ac:dyDescent="0.25">
      <c r="A12" s="6">
        <f t="shared" si="0"/>
        <v>11</v>
      </c>
      <c r="B12" s="99"/>
      <c r="C12" s="13"/>
      <c r="D12" s="15"/>
      <c r="E12" s="15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99"/>
      <c r="C13" s="13"/>
      <c r="D13" s="15"/>
      <c r="E13" s="15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99"/>
      <c r="C15" s="13"/>
      <c r="D15" s="15"/>
      <c r="E15" s="15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99"/>
      <c r="C16" s="13"/>
      <c r="D16" s="15"/>
      <c r="E16" s="15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99"/>
      <c r="C17" s="13"/>
      <c r="D17" s="15"/>
      <c r="E17" s="15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99"/>
      <c r="C18" s="13"/>
      <c r="D18" s="15"/>
      <c r="E18" s="15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99"/>
      <c r="C19" s="13"/>
      <c r="D19" s="15"/>
      <c r="E19" s="15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99"/>
      <c r="C20" s="13"/>
      <c r="D20" s="15"/>
      <c r="E20" s="15"/>
      <c r="F20" s="10">
        <f t="shared" si="1"/>
        <v>0</v>
      </c>
      <c r="G20" s="11"/>
    </row>
    <row r="21" spans="1:7" ht="15" customHeight="1" thickBot="1" x14ac:dyDescent="0.3">
      <c r="A21" s="6">
        <f t="shared" si="0"/>
        <v>20</v>
      </c>
      <c r="B21" s="99"/>
      <c r="C21" s="16"/>
      <c r="D21" s="17"/>
      <c r="E21" s="15"/>
      <c r="F21" s="10">
        <f t="shared" si="1"/>
        <v>0</v>
      </c>
      <c r="G21" s="11"/>
    </row>
    <row r="22" spans="1:7" ht="15" customHeight="1" thickBot="1" x14ac:dyDescent="0.3">
      <c r="A22" s="6"/>
      <c r="B22" s="99" t="s">
        <v>16</v>
      </c>
      <c r="C22" s="20"/>
      <c r="D22" s="20"/>
      <c r="E22" s="21"/>
      <c r="F22" s="22">
        <f>SUM(F2:F21)</f>
        <v>0.29513888888888895</v>
      </c>
      <c r="G22" s="23"/>
    </row>
    <row r="27" spans="1:7" ht="15" customHeight="1" thickBot="1" x14ac:dyDescent="0.3"/>
    <row r="28" spans="1:7" ht="15" customHeight="1" thickBot="1" x14ac:dyDescent="0.3">
      <c r="A28" s="64" t="s">
        <v>17</v>
      </c>
      <c r="B28" s="65" t="s">
        <v>1</v>
      </c>
      <c r="C28" s="64" t="s">
        <v>33</v>
      </c>
    </row>
    <row r="29" spans="1:7" x14ac:dyDescent="0.25">
      <c r="A29" s="75">
        <v>1</v>
      </c>
      <c r="B29" s="66" t="s">
        <v>178</v>
      </c>
      <c r="C29" s="72">
        <v>1.7361111111111108E-2</v>
      </c>
    </row>
    <row r="30" spans="1:7" x14ac:dyDescent="0.25">
      <c r="A30" s="75">
        <v>2</v>
      </c>
      <c r="B30" s="66" t="s">
        <v>179</v>
      </c>
      <c r="C30" s="72">
        <v>0.1041666666666667</v>
      </c>
    </row>
    <row r="31" spans="1:7" x14ac:dyDescent="0.25">
      <c r="A31" s="75">
        <v>3</v>
      </c>
      <c r="B31" s="66" t="s">
        <v>180</v>
      </c>
      <c r="C31" s="72">
        <v>5.2083333333333343E-2</v>
      </c>
    </row>
    <row r="32" spans="1:7" x14ac:dyDescent="0.25">
      <c r="A32" s="75">
        <v>4</v>
      </c>
      <c r="B32" s="66" t="s">
        <v>181</v>
      </c>
      <c r="C32" s="72">
        <v>1.388888888888889E-2</v>
      </c>
    </row>
    <row r="33" spans="1:3" x14ac:dyDescent="0.25">
      <c r="A33" s="75">
        <v>5</v>
      </c>
      <c r="B33" s="66" t="s">
        <v>182</v>
      </c>
      <c r="C33" s="72">
        <v>6.9444444444444441E-3</v>
      </c>
    </row>
    <row r="34" spans="1:3" x14ac:dyDescent="0.25">
      <c r="A34" s="75">
        <v>6</v>
      </c>
      <c r="B34" s="66" t="s">
        <v>12</v>
      </c>
      <c r="C34" s="72">
        <v>1.388888888888889E-2</v>
      </c>
    </row>
    <row r="35" spans="1:3" x14ac:dyDescent="0.25">
      <c r="A35" s="75">
        <v>7</v>
      </c>
      <c r="B35" s="66" t="s">
        <v>183</v>
      </c>
      <c r="C35" s="72">
        <v>5.2083333333333343E-2</v>
      </c>
    </row>
    <row r="36" spans="1:3" x14ac:dyDescent="0.25">
      <c r="A36" s="75">
        <v>8</v>
      </c>
      <c r="B36" s="66" t="s">
        <v>184</v>
      </c>
      <c r="C36" s="72">
        <v>1.388888888888889E-2</v>
      </c>
    </row>
    <row r="37" spans="1:3" ht="15" customHeight="1" thickBot="1" x14ac:dyDescent="0.3">
      <c r="A37" s="94">
        <v>9</v>
      </c>
      <c r="B37" s="95" t="s">
        <v>15</v>
      </c>
      <c r="C37" s="96">
        <v>1.041666666666667E-2</v>
      </c>
    </row>
    <row r="38" spans="1:3" x14ac:dyDescent="0.25">
      <c r="C38" s="29">
        <f>SUM(C29:C37)</f>
        <v>0.28472222222222232</v>
      </c>
    </row>
    <row r="39" spans="1:3" ht="15" customHeight="1" thickBot="1" x14ac:dyDescent="0.3"/>
    <row r="40" spans="1:3" x14ac:dyDescent="0.25">
      <c r="A40" s="108" t="s">
        <v>185</v>
      </c>
    </row>
    <row r="41" spans="1:3" x14ac:dyDescent="0.25">
      <c r="A41" s="109"/>
    </row>
    <row r="42" spans="1:3" x14ac:dyDescent="0.25">
      <c r="A42" s="109" t="s">
        <v>186</v>
      </c>
    </row>
    <row r="43" spans="1:3" x14ac:dyDescent="0.25">
      <c r="A43" s="110" t="s">
        <v>187</v>
      </c>
    </row>
    <row r="44" spans="1:3" x14ac:dyDescent="0.25">
      <c r="A44" s="110" t="s">
        <v>188</v>
      </c>
    </row>
    <row r="45" spans="1:3" x14ac:dyDescent="0.25">
      <c r="A45" s="110" t="s">
        <v>189</v>
      </c>
    </row>
    <row r="46" spans="1:3" x14ac:dyDescent="0.25">
      <c r="A46" s="110" t="s">
        <v>190</v>
      </c>
    </row>
    <row r="47" spans="1:3" x14ac:dyDescent="0.25">
      <c r="A47" s="111"/>
    </row>
    <row r="48" spans="1:3" x14ac:dyDescent="0.25">
      <c r="A48" s="111" t="s">
        <v>191</v>
      </c>
    </row>
    <row r="49" spans="1:1" x14ac:dyDescent="0.25">
      <c r="A49" s="110" t="s">
        <v>192</v>
      </c>
    </row>
    <row r="50" spans="1:1" x14ac:dyDescent="0.25">
      <c r="A50" s="110" t="s">
        <v>193</v>
      </c>
    </row>
    <row r="51" spans="1:1" x14ac:dyDescent="0.25">
      <c r="A51" s="111"/>
    </row>
    <row r="52" spans="1:1" x14ac:dyDescent="0.25">
      <c r="A52" s="111" t="s">
        <v>194</v>
      </c>
    </row>
    <row r="53" spans="1:1" x14ac:dyDescent="0.25">
      <c r="A53" s="110" t="s">
        <v>195</v>
      </c>
    </row>
    <row r="54" spans="1:1" x14ac:dyDescent="0.25">
      <c r="A54" s="110" t="s">
        <v>196</v>
      </c>
    </row>
    <row r="55" spans="1:1" x14ac:dyDescent="0.25">
      <c r="A55" s="109"/>
    </row>
    <row r="56" spans="1:1" x14ac:dyDescent="0.25">
      <c r="A56" s="109" t="s">
        <v>197</v>
      </c>
    </row>
    <row r="57" spans="1:1" x14ac:dyDescent="0.25">
      <c r="A57" s="109"/>
    </row>
    <row r="58" spans="1:1" x14ac:dyDescent="0.25">
      <c r="A58" s="109" t="s">
        <v>198</v>
      </c>
    </row>
    <row r="59" spans="1:1" ht="15" customHeight="1" thickBot="1" x14ac:dyDescent="0.3">
      <c r="A59" s="112" t="s">
        <v>199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4"/>
  <sheetViews>
    <sheetView topLeftCell="A21" workbookViewId="0">
      <selection activeCell="A26" sqref="A26:B36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>
        <v>0.38541666666666669</v>
      </c>
      <c r="D2" s="9">
        <v>0.40277777777777779</v>
      </c>
      <c r="E2" s="9">
        <v>1.388888888888889E-2</v>
      </c>
      <c r="F2" s="10">
        <f>D2-C2</f>
        <v>1.7361111111111105E-2</v>
      </c>
      <c r="G2" s="11"/>
      <c r="I2" s="39" t="s">
        <v>8</v>
      </c>
    </row>
    <row r="3" spans="1:9" x14ac:dyDescent="0.25">
      <c r="A3" s="6">
        <f t="shared" si="0"/>
        <v>2</v>
      </c>
      <c r="B3" s="12" t="s">
        <v>9</v>
      </c>
      <c r="C3" s="13">
        <v>0.41666666666666669</v>
      </c>
      <c r="D3" s="10">
        <v>0.43402777777777779</v>
      </c>
      <c r="E3" s="10">
        <v>1.7361111111111108E-2</v>
      </c>
      <c r="F3" s="10">
        <f>D3-C3</f>
        <v>1.7361111111111105E-2</v>
      </c>
      <c r="G3" s="11"/>
    </row>
    <row r="4" spans="1:9" x14ac:dyDescent="0.25">
      <c r="A4" s="6">
        <f t="shared" si="0"/>
        <v>3</v>
      </c>
      <c r="B4" s="14" t="s">
        <v>10</v>
      </c>
      <c r="C4" s="13">
        <v>0.40277777777777779</v>
      </c>
      <c r="D4" s="10">
        <v>0.41666666666666669</v>
      </c>
      <c r="E4" s="10">
        <v>6.9444444444444441E-3</v>
      </c>
      <c r="F4" s="10">
        <f>D4-C4</f>
        <v>1.3888888888888895E-2</v>
      </c>
      <c r="G4" s="11"/>
    </row>
    <row r="5" spans="1:9" x14ac:dyDescent="0.25">
      <c r="A5" s="6">
        <f t="shared" si="0"/>
        <v>4</v>
      </c>
      <c r="B5" s="12" t="s">
        <v>143</v>
      </c>
      <c r="C5" s="13">
        <v>0.4375</v>
      </c>
      <c r="D5" s="10">
        <v>0.44097222222222221</v>
      </c>
      <c r="E5" s="10">
        <v>4.1666666666666657E-2</v>
      </c>
      <c r="F5" s="10">
        <f>D5-C5</f>
        <v>3.4722222222222099E-3</v>
      </c>
      <c r="G5" s="11"/>
    </row>
    <row r="6" spans="1:9" x14ac:dyDescent="0.25">
      <c r="A6" s="6">
        <f t="shared" si="0"/>
        <v>5</v>
      </c>
      <c r="B6" s="12" t="s">
        <v>88</v>
      </c>
      <c r="C6" s="13"/>
      <c r="D6" s="10"/>
      <c r="E6" s="10"/>
      <c r="F6" s="10">
        <v>9.375E-2</v>
      </c>
      <c r="G6" s="11"/>
    </row>
    <row r="7" spans="1:9" x14ac:dyDescent="0.25">
      <c r="A7" s="6">
        <f t="shared" si="0"/>
        <v>6</v>
      </c>
      <c r="B7" s="12" t="s">
        <v>89</v>
      </c>
      <c r="C7" s="13"/>
      <c r="D7" s="10"/>
      <c r="E7" s="10"/>
      <c r="F7" s="10">
        <v>4.1666666666666657E-2</v>
      </c>
      <c r="G7" s="11"/>
    </row>
    <row r="8" spans="1:9" x14ac:dyDescent="0.25">
      <c r="A8" s="6">
        <f t="shared" si="0"/>
        <v>7</v>
      </c>
      <c r="B8" s="12" t="s">
        <v>200</v>
      </c>
      <c r="C8" s="13"/>
      <c r="D8" s="10"/>
      <c r="E8" s="10"/>
      <c r="F8" s="13">
        <v>4.1666666666666657E-2</v>
      </c>
      <c r="G8" s="11"/>
    </row>
    <row r="9" spans="1:9" x14ac:dyDescent="0.25">
      <c r="A9" s="6">
        <f t="shared" si="0"/>
        <v>8</v>
      </c>
      <c r="B9" s="12"/>
      <c r="C9" s="13"/>
      <c r="D9" s="10"/>
      <c r="E9" s="10"/>
      <c r="F9" s="10">
        <f t="shared" ref="F9:F17" si="1">D9-C9</f>
        <v>0</v>
      </c>
      <c r="G9" s="11"/>
    </row>
    <row r="10" spans="1:9" x14ac:dyDescent="0.25">
      <c r="A10" s="6">
        <f t="shared" si="0"/>
        <v>9</v>
      </c>
      <c r="B10" s="12"/>
      <c r="C10" s="13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2"/>
      <c r="C11" s="13"/>
      <c r="D11" s="15"/>
      <c r="E11" s="15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2"/>
      <c r="C12" s="13"/>
      <c r="D12" s="15"/>
      <c r="E12" s="15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2"/>
      <c r="C13" s="13"/>
      <c r="D13" s="15"/>
      <c r="E13" s="15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2" t="s">
        <v>12</v>
      </c>
      <c r="C18" s="13"/>
      <c r="D18" s="15"/>
      <c r="E18" s="15"/>
      <c r="F18" s="10">
        <v>1.388888888888889E-2</v>
      </c>
      <c r="G18" s="11"/>
    </row>
    <row r="19" spans="1:7" x14ac:dyDescent="0.25">
      <c r="A19" s="6">
        <f t="shared" si="0"/>
        <v>18</v>
      </c>
      <c r="B19" s="12" t="s">
        <v>13</v>
      </c>
      <c r="C19" s="13"/>
      <c r="D19" s="15"/>
      <c r="E19" s="15"/>
      <c r="F19" s="10">
        <v>5.2083333333333343E-2</v>
      </c>
      <c r="G19" s="11"/>
    </row>
    <row r="20" spans="1:7" ht="177.6" customHeight="1" x14ac:dyDescent="0.25">
      <c r="A20" s="6">
        <f t="shared" si="0"/>
        <v>19</v>
      </c>
      <c r="B20" s="12" t="s">
        <v>14</v>
      </c>
      <c r="C20" s="13"/>
      <c r="D20" s="15"/>
      <c r="E20" s="15"/>
      <c r="F20" s="10">
        <v>1.388888888888889E-2</v>
      </c>
      <c r="G20" s="11"/>
    </row>
    <row r="21" spans="1:7" ht="15" customHeight="1" thickBot="1" x14ac:dyDescent="0.3">
      <c r="A21" s="6">
        <f t="shared" si="0"/>
        <v>20</v>
      </c>
      <c r="B21" s="12" t="s">
        <v>15</v>
      </c>
      <c r="C21" s="16"/>
      <c r="D21" s="17"/>
      <c r="E21" s="15"/>
      <c r="F21" s="10">
        <v>1.041666666666667E-2</v>
      </c>
      <c r="G21" s="11"/>
    </row>
    <row r="22" spans="1:7" ht="15" customHeight="1" thickBot="1" x14ac:dyDescent="0.3">
      <c r="A22" s="18"/>
      <c r="B22" s="19" t="s">
        <v>16</v>
      </c>
      <c r="C22" s="20"/>
      <c r="D22" s="20"/>
      <c r="E22" s="21"/>
      <c r="F22" s="22">
        <f>SUM(F2:F21)</f>
        <v>0.31944444444444442</v>
      </c>
      <c r="G22" s="23"/>
    </row>
    <row r="24" spans="1:7" ht="15" customHeight="1" thickBot="1" x14ac:dyDescent="0.3"/>
    <row r="25" spans="1:7" ht="15" customHeight="1" thickBot="1" x14ac:dyDescent="0.3">
      <c r="A25" s="64" t="s">
        <v>0</v>
      </c>
      <c r="B25" s="65" t="s">
        <v>1</v>
      </c>
      <c r="C25" s="64" t="s">
        <v>33</v>
      </c>
    </row>
    <row r="26" spans="1:7" x14ac:dyDescent="0.25">
      <c r="A26" s="75">
        <v>1</v>
      </c>
      <c r="B26" s="66" t="s">
        <v>7</v>
      </c>
      <c r="C26" s="72">
        <v>1.7361111111111108E-2</v>
      </c>
    </row>
    <row r="27" spans="1:7" x14ac:dyDescent="0.25">
      <c r="A27" s="75">
        <v>2</v>
      </c>
      <c r="B27" s="66" t="s">
        <v>9</v>
      </c>
      <c r="C27" s="72">
        <v>1.7361111111111108E-2</v>
      </c>
    </row>
    <row r="28" spans="1:7" x14ac:dyDescent="0.25">
      <c r="A28" s="75">
        <v>3</v>
      </c>
      <c r="B28" s="66" t="s">
        <v>10</v>
      </c>
      <c r="C28" s="72">
        <v>1.388888888888889E-2</v>
      </c>
    </row>
    <row r="29" spans="1:7" x14ac:dyDescent="0.25">
      <c r="A29" s="75">
        <v>4</v>
      </c>
      <c r="B29" s="66" t="s">
        <v>143</v>
      </c>
      <c r="C29" s="72">
        <v>3.472222222222222E-3</v>
      </c>
    </row>
    <row r="30" spans="1:7" x14ac:dyDescent="0.25">
      <c r="A30" s="75">
        <v>5</v>
      </c>
      <c r="B30" s="66" t="s">
        <v>88</v>
      </c>
      <c r="C30" s="72">
        <v>8.3333333333333329E-2</v>
      </c>
    </row>
    <row r="31" spans="1:7" x14ac:dyDescent="0.25">
      <c r="A31" s="75">
        <v>6</v>
      </c>
      <c r="B31" s="66" t="s">
        <v>89</v>
      </c>
      <c r="C31" s="72">
        <v>4.1666666666666657E-2</v>
      </c>
    </row>
    <row r="32" spans="1:7" x14ac:dyDescent="0.25">
      <c r="A32" s="75">
        <v>7</v>
      </c>
      <c r="B32" s="66" t="s">
        <v>200</v>
      </c>
      <c r="C32" s="72">
        <v>4.1666666666666657E-2</v>
      </c>
    </row>
    <row r="33" spans="1:3" x14ac:dyDescent="0.25">
      <c r="A33" s="75">
        <v>8</v>
      </c>
      <c r="B33" s="66" t="s">
        <v>12</v>
      </c>
      <c r="C33" s="72">
        <v>1.388888888888889E-2</v>
      </c>
    </row>
    <row r="34" spans="1:3" x14ac:dyDescent="0.25">
      <c r="A34" s="75">
        <v>9</v>
      </c>
      <c r="B34" s="66" t="s">
        <v>13</v>
      </c>
      <c r="C34" s="72">
        <v>5.2083333333333343E-2</v>
      </c>
    </row>
    <row r="35" spans="1:3" x14ac:dyDescent="0.25">
      <c r="A35" s="75">
        <v>10</v>
      </c>
      <c r="B35" s="66" t="s">
        <v>14</v>
      </c>
      <c r="C35" s="72">
        <v>1.388888888888889E-2</v>
      </c>
    </row>
    <row r="36" spans="1:3" x14ac:dyDescent="0.25">
      <c r="A36" s="75">
        <v>11</v>
      </c>
      <c r="B36" s="66" t="s">
        <v>15</v>
      </c>
      <c r="C36" s="72">
        <v>1.041666666666667E-2</v>
      </c>
    </row>
    <row r="37" spans="1:3" x14ac:dyDescent="0.25">
      <c r="C37" s="29">
        <f>SUM(C26:C36)</f>
        <v>0.30902777777777779</v>
      </c>
    </row>
    <row r="43" spans="1:3" ht="15" customHeight="1" x14ac:dyDescent="0.25"/>
    <row r="44" spans="1:3" ht="15" customHeight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1"/>
  <sheetViews>
    <sheetView topLeftCell="A27" workbookViewId="0">
      <selection activeCell="A29" sqref="A29:B40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113">
        <v>0.39583333333333331</v>
      </c>
      <c r="D2" s="114">
        <v>0.41458333333333341</v>
      </c>
      <c r="E2" s="9">
        <v>1.388888888888889E-2</v>
      </c>
      <c r="F2" s="10">
        <f>D2-C2</f>
        <v>1.87500000000001E-2</v>
      </c>
      <c r="G2" s="11"/>
      <c r="I2" s="39" t="s">
        <v>8</v>
      </c>
    </row>
    <row r="3" spans="1:9" x14ac:dyDescent="0.25">
      <c r="A3" s="6">
        <f t="shared" si="0"/>
        <v>2</v>
      </c>
      <c r="B3" s="12" t="s">
        <v>9</v>
      </c>
      <c r="C3" s="13">
        <v>0.41458333333333341</v>
      </c>
      <c r="D3" s="10">
        <v>0.43125000000000002</v>
      </c>
      <c r="E3" s="10">
        <v>1.7361111111111108E-2</v>
      </c>
      <c r="F3" s="10">
        <f>D3-C3</f>
        <v>1.6666666666666607E-2</v>
      </c>
      <c r="G3" s="11"/>
    </row>
    <row r="4" spans="1:9" x14ac:dyDescent="0.25">
      <c r="A4" s="6">
        <f t="shared" si="0"/>
        <v>3</v>
      </c>
      <c r="B4" s="14" t="s">
        <v>10</v>
      </c>
      <c r="C4" s="13">
        <v>0.43055555555555558</v>
      </c>
      <c r="D4" s="10">
        <v>0.4375</v>
      </c>
      <c r="E4" s="10">
        <v>6.9444444444444441E-3</v>
      </c>
      <c r="F4" s="10">
        <f>D4-C4</f>
        <v>6.9444444444444198E-3</v>
      </c>
      <c r="G4" s="11"/>
    </row>
    <row r="5" spans="1:9" x14ac:dyDescent="0.25">
      <c r="A5" s="6">
        <f t="shared" si="0"/>
        <v>4</v>
      </c>
      <c r="B5" s="12" t="s">
        <v>201</v>
      </c>
      <c r="C5" s="13"/>
      <c r="D5" s="10"/>
      <c r="E5" s="10"/>
      <c r="F5" s="10">
        <v>6.25E-2</v>
      </c>
      <c r="G5" s="11"/>
    </row>
    <row r="6" spans="1:9" x14ac:dyDescent="0.25">
      <c r="A6" s="6">
        <f t="shared" si="0"/>
        <v>5</v>
      </c>
      <c r="B6" s="12" t="s">
        <v>202</v>
      </c>
      <c r="C6" s="13"/>
      <c r="D6" s="10"/>
      <c r="E6" s="10"/>
      <c r="F6" s="10">
        <v>2.0833333333333329E-2</v>
      </c>
      <c r="G6" s="11"/>
    </row>
    <row r="7" spans="1:9" x14ac:dyDescent="0.25">
      <c r="A7" s="6">
        <f t="shared" si="0"/>
        <v>6</v>
      </c>
      <c r="B7" s="12" t="s">
        <v>203</v>
      </c>
      <c r="C7" s="13"/>
      <c r="D7" s="10"/>
      <c r="E7" s="10"/>
      <c r="F7" s="13">
        <v>2.0833333333333329E-2</v>
      </c>
      <c r="G7" s="11"/>
    </row>
    <row r="8" spans="1:9" ht="28.9" customHeight="1" x14ac:dyDescent="0.25">
      <c r="A8" s="6">
        <f t="shared" si="0"/>
        <v>7</v>
      </c>
      <c r="B8" s="12" t="s">
        <v>204</v>
      </c>
      <c r="C8" s="13"/>
      <c r="D8" s="10"/>
      <c r="E8" s="10"/>
      <c r="F8" s="10">
        <v>2.0833333333333329E-2</v>
      </c>
      <c r="G8" s="11"/>
    </row>
    <row r="9" spans="1:9" x14ac:dyDescent="0.25">
      <c r="A9" s="6">
        <f t="shared" si="0"/>
        <v>8</v>
      </c>
      <c r="B9" s="12"/>
      <c r="C9" s="13"/>
      <c r="D9" s="10"/>
      <c r="E9" s="10"/>
      <c r="F9" s="10">
        <f t="shared" ref="F9:F16" si="1">D9-C9</f>
        <v>0</v>
      </c>
      <c r="G9" s="11"/>
    </row>
    <row r="10" spans="1:9" x14ac:dyDescent="0.25">
      <c r="A10" s="6">
        <f t="shared" si="0"/>
        <v>9</v>
      </c>
      <c r="B10" s="12"/>
      <c r="C10" s="13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2"/>
      <c r="C11" s="13"/>
      <c r="D11" s="15"/>
      <c r="E11" s="15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2"/>
      <c r="C12" s="13"/>
      <c r="D12" s="15"/>
      <c r="E12" s="15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2"/>
      <c r="C13" s="13"/>
      <c r="D13" s="15"/>
      <c r="E13" s="15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2" t="s">
        <v>205</v>
      </c>
      <c r="C17" s="13"/>
      <c r="D17" s="15"/>
      <c r="E17" s="15"/>
      <c r="F17" s="10">
        <v>3.125E-2</v>
      </c>
      <c r="G17" s="11"/>
    </row>
    <row r="18" spans="1:7" x14ac:dyDescent="0.25">
      <c r="A18" s="6">
        <f t="shared" si="0"/>
        <v>17</v>
      </c>
      <c r="B18" s="12" t="s">
        <v>12</v>
      </c>
      <c r="C18" s="13"/>
      <c r="D18" s="15"/>
      <c r="E18" s="15"/>
      <c r="F18" s="10">
        <v>1.388888888888889E-2</v>
      </c>
      <c r="G18" s="11"/>
    </row>
    <row r="19" spans="1:7" x14ac:dyDescent="0.25">
      <c r="A19" s="6">
        <f t="shared" si="0"/>
        <v>18</v>
      </c>
      <c r="B19" s="12" t="s">
        <v>13</v>
      </c>
      <c r="C19" s="13"/>
      <c r="D19" s="15"/>
      <c r="E19" s="15"/>
      <c r="F19" s="10">
        <v>6.25E-2</v>
      </c>
      <c r="G19" s="11"/>
    </row>
    <row r="20" spans="1:7" x14ac:dyDescent="0.25">
      <c r="A20" s="6">
        <f t="shared" si="0"/>
        <v>19</v>
      </c>
      <c r="B20" s="12" t="s">
        <v>14</v>
      </c>
      <c r="C20" s="13"/>
      <c r="D20" s="15"/>
      <c r="E20" s="15"/>
      <c r="F20" s="10">
        <v>1.388888888888889E-2</v>
      </c>
      <c r="G20" s="11"/>
    </row>
    <row r="21" spans="1:7" ht="15" customHeight="1" thickBot="1" x14ac:dyDescent="0.3">
      <c r="A21" s="6">
        <f t="shared" si="0"/>
        <v>20</v>
      </c>
      <c r="B21" s="12" t="s">
        <v>15</v>
      </c>
      <c r="C21" s="16"/>
      <c r="D21" s="17"/>
      <c r="E21" s="15"/>
      <c r="F21" s="10">
        <v>1.041666666666667E-2</v>
      </c>
      <c r="G21" s="11"/>
    </row>
    <row r="22" spans="1:7" ht="15" customHeight="1" thickBot="1" x14ac:dyDescent="0.3">
      <c r="A22" s="18"/>
      <c r="B22" s="19" t="s">
        <v>16</v>
      </c>
      <c r="C22" s="20"/>
      <c r="D22" s="20"/>
      <c r="E22" s="21"/>
      <c r="F22" s="22">
        <f>SUM(F2:F21)</f>
        <v>0.29930555555555555</v>
      </c>
      <c r="G22" s="23"/>
    </row>
    <row r="27" spans="1:7" ht="15" customHeight="1" thickBot="1" x14ac:dyDescent="0.3"/>
    <row r="28" spans="1:7" ht="15" customHeight="1" thickBot="1" x14ac:dyDescent="0.3">
      <c r="A28" s="64" t="s">
        <v>0</v>
      </c>
      <c r="B28" s="65" t="s">
        <v>1</v>
      </c>
      <c r="C28" s="64" t="s">
        <v>33</v>
      </c>
    </row>
    <row r="29" spans="1:7" x14ac:dyDescent="0.25">
      <c r="A29" s="75">
        <v>1</v>
      </c>
      <c r="B29" s="66" t="s">
        <v>7</v>
      </c>
      <c r="C29" s="72">
        <v>1.8749999999999999E-2</v>
      </c>
    </row>
    <row r="30" spans="1:7" x14ac:dyDescent="0.25">
      <c r="A30" s="75">
        <v>2</v>
      </c>
      <c r="B30" s="66" t="s">
        <v>9</v>
      </c>
      <c r="C30" s="72">
        <v>1.666666666666667E-2</v>
      </c>
    </row>
    <row r="31" spans="1:7" x14ac:dyDescent="0.25">
      <c r="A31" s="75">
        <v>3</v>
      </c>
      <c r="B31" s="66" t="s">
        <v>10</v>
      </c>
      <c r="C31" s="72">
        <v>6.9444444444444441E-3</v>
      </c>
    </row>
    <row r="32" spans="1:7" x14ac:dyDescent="0.25">
      <c r="A32" s="75">
        <v>4</v>
      </c>
      <c r="B32" s="66" t="s">
        <v>201</v>
      </c>
      <c r="C32" s="72">
        <v>6.25E-2</v>
      </c>
    </row>
    <row r="33" spans="1:3" x14ac:dyDescent="0.25">
      <c r="A33" s="75">
        <v>5</v>
      </c>
      <c r="B33" s="66" t="s">
        <v>202</v>
      </c>
      <c r="C33" s="72">
        <v>2.0833333333333329E-2</v>
      </c>
    </row>
    <row r="34" spans="1:3" x14ac:dyDescent="0.25">
      <c r="A34" s="75">
        <v>6</v>
      </c>
      <c r="B34" s="66" t="s">
        <v>203</v>
      </c>
      <c r="C34" s="72">
        <v>2.0833333333333329E-2</v>
      </c>
    </row>
    <row r="35" spans="1:3" x14ac:dyDescent="0.25">
      <c r="A35" s="75">
        <v>7</v>
      </c>
      <c r="B35" s="66" t="s">
        <v>204</v>
      </c>
      <c r="C35" s="72">
        <v>2.0833333333333329E-2</v>
      </c>
    </row>
    <row r="36" spans="1:3" x14ac:dyDescent="0.25">
      <c r="A36" s="75">
        <v>8</v>
      </c>
      <c r="B36" s="66" t="s">
        <v>205</v>
      </c>
      <c r="C36" s="72">
        <v>3.125E-2</v>
      </c>
    </row>
    <row r="37" spans="1:3" x14ac:dyDescent="0.25">
      <c r="A37" s="75">
        <v>9</v>
      </c>
      <c r="B37" s="66" t="s">
        <v>12</v>
      </c>
      <c r="C37" s="72">
        <v>1.388888888888889E-2</v>
      </c>
    </row>
    <row r="38" spans="1:3" x14ac:dyDescent="0.25">
      <c r="A38" s="75">
        <v>10</v>
      </c>
      <c r="B38" s="66" t="s">
        <v>13</v>
      </c>
      <c r="C38" s="72">
        <v>6.25E-2</v>
      </c>
    </row>
    <row r="39" spans="1:3" x14ac:dyDescent="0.25">
      <c r="A39" s="75">
        <v>11</v>
      </c>
      <c r="B39" s="66" t="s">
        <v>14</v>
      </c>
      <c r="C39" s="72">
        <v>1.388888888888889E-2</v>
      </c>
    </row>
    <row r="40" spans="1:3" x14ac:dyDescent="0.25">
      <c r="A40" s="75">
        <v>12</v>
      </c>
      <c r="B40" s="66" t="s">
        <v>15</v>
      </c>
      <c r="C40" s="72">
        <v>1.041666666666667E-2</v>
      </c>
    </row>
    <row r="41" spans="1:3" x14ac:dyDescent="0.25">
      <c r="C41" s="72">
        <v>0.29930555555555549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4"/>
  <sheetViews>
    <sheetView topLeftCell="A27" workbookViewId="0">
      <selection activeCell="C41" sqref="C41:C44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>
        <v>0.39930555555555558</v>
      </c>
      <c r="D2" s="9">
        <v>0.41041666666666671</v>
      </c>
      <c r="E2" s="9">
        <v>1.388888888888889E-2</v>
      </c>
      <c r="F2" s="10">
        <f t="shared" ref="F2:F17" si="1">D2-C2</f>
        <v>1.1111111111111127E-2</v>
      </c>
      <c r="G2" s="11"/>
      <c r="I2" s="39" t="s">
        <v>8</v>
      </c>
    </row>
    <row r="3" spans="1:9" x14ac:dyDescent="0.25">
      <c r="A3" s="6">
        <f t="shared" si="0"/>
        <v>2</v>
      </c>
      <c r="B3" s="12" t="s">
        <v>9</v>
      </c>
      <c r="C3" s="13">
        <v>0.41041666666666671</v>
      </c>
      <c r="D3" s="10">
        <v>0.42708333333333331</v>
      </c>
      <c r="E3" s="10">
        <v>1.7361111111111108E-2</v>
      </c>
      <c r="F3" s="10">
        <f t="shared" si="1"/>
        <v>1.6666666666666607E-2</v>
      </c>
      <c r="G3" s="11"/>
    </row>
    <row r="4" spans="1:9" x14ac:dyDescent="0.25">
      <c r="A4" s="6">
        <f t="shared" si="0"/>
        <v>3</v>
      </c>
      <c r="B4" s="14" t="s">
        <v>10</v>
      </c>
      <c r="C4" s="13">
        <v>0.42708333333333331</v>
      </c>
      <c r="D4" s="10">
        <v>0.43402777777777779</v>
      </c>
      <c r="E4" s="10">
        <v>6.9444444444444441E-3</v>
      </c>
      <c r="F4" s="10">
        <f t="shared" si="1"/>
        <v>6.9444444444444753E-3</v>
      </c>
      <c r="G4" s="11"/>
    </row>
    <row r="5" spans="1:9" x14ac:dyDescent="0.25">
      <c r="A5" s="6">
        <f t="shared" si="0"/>
        <v>4</v>
      </c>
      <c r="B5" s="14" t="s">
        <v>206</v>
      </c>
      <c r="C5" s="13">
        <v>0.43402777777777779</v>
      </c>
      <c r="D5" s="10">
        <v>0.44791666666666669</v>
      </c>
      <c r="E5" s="10">
        <v>4.1666666666666657E-2</v>
      </c>
      <c r="F5" s="10">
        <f t="shared" si="1"/>
        <v>1.3888888888888895E-2</v>
      </c>
      <c r="G5" s="11"/>
    </row>
    <row r="6" spans="1:9" x14ac:dyDescent="0.25">
      <c r="A6" s="6">
        <f t="shared" si="0"/>
        <v>5</v>
      </c>
      <c r="B6" s="12" t="s">
        <v>143</v>
      </c>
      <c r="C6" s="13">
        <v>0.44791666666666669</v>
      </c>
      <c r="D6" s="10">
        <v>0.4513888888888889</v>
      </c>
      <c r="E6" s="10"/>
      <c r="F6" s="10">
        <f t="shared" si="1"/>
        <v>3.4722222222222099E-3</v>
      </c>
      <c r="G6" s="11"/>
    </row>
    <row r="7" spans="1:9" x14ac:dyDescent="0.25">
      <c r="A7" s="6">
        <f t="shared" si="0"/>
        <v>6</v>
      </c>
      <c r="B7" s="12" t="s">
        <v>207</v>
      </c>
      <c r="C7" s="13">
        <v>0.4513888888888889</v>
      </c>
      <c r="D7" s="10">
        <v>0.47916666666666669</v>
      </c>
      <c r="E7" s="10"/>
      <c r="F7" s="10">
        <f t="shared" si="1"/>
        <v>2.777777777777779E-2</v>
      </c>
      <c r="G7" s="11"/>
    </row>
    <row r="8" spans="1:9" x14ac:dyDescent="0.25">
      <c r="A8" s="6">
        <f t="shared" si="0"/>
        <v>7</v>
      </c>
      <c r="B8" s="12" t="s">
        <v>208</v>
      </c>
      <c r="C8" s="13">
        <v>0.47916666666666669</v>
      </c>
      <c r="D8" s="10">
        <v>0.50694444444444442</v>
      </c>
      <c r="E8" s="10"/>
      <c r="F8" s="13">
        <f t="shared" si="1"/>
        <v>2.7777777777777735E-2</v>
      </c>
      <c r="G8" s="11"/>
    </row>
    <row r="9" spans="1:9" x14ac:dyDescent="0.25">
      <c r="A9" s="6">
        <f t="shared" si="0"/>
        <v>8</v>
      </c>
      <c r="B9" s="12" t="s">
        <v>209</v>
      </c>
      <c r="C9" s="13">
        <v>0.51041666666666663</v>
      </c>
      <c r="D9" s="10">
        <v>0.52083333333333337</v>
      </c>
      <c r="E9" s="10"/>
      <c r="F9" s="10">
        <f t="shared" si="1"/>
        <v>1.0416666666666741E-2</v>
      </c>
      <c r="G9" s="11"/>
    </row>
    <row r="10" spans="1:9" ht="30" customHeight="1" x14ac:dyDescent="0.25">
      <c r="A10" s="6">
        <f t="shared" si="0"/>
        <v>9</v>
      </c>
      <c r="B10" s="12" t="s">
        <v>210</v>
      </c>
      <c r="C10" s="13">
        <v>9.166666666666666E-2</v>
      </c>
      <c r="D10" s="10">
        <v>0.1333333333333333</v>
      </c>
      <c r="E10" s="10"/>
      <c r="F10" s="10">
        <f t="shared" si="1"/>
        <v>4.1666666666666644E-2</v>
      </c>
      <c r="G10" s="11"/>
    </row>
    <row r="11" spans="1:9" x14ac:dyDescent="0.25">
      <c r="A11" s="6">
        <f t="shared" si="0"/>
        <v>10</v>
      </c>
      <c r="B11" s="12" t="s">
        <v>211</v>
      </c>
      <c r="C11" s="13">
        <v>0.1333333333333333</v>
      </c>
      <c r="D11" s="15">
        <v>0.17777777777777781</v>
      </c>
      <c r="E11" s="15"/>
      <c r="F11" s="10">
        <f t="shared" si="1"/>
        <v>4.4444444444444509E-2</v>
      </c>
      <c r="G11" s="11"/>
    </row>
    <row r="12" spans="1:9" x14ac:dyDescent="0.25">
      <c r="A12" s="6">
        <f t="shared" si="0"/>
        <v>11</v>
      </c>
      <c r="B12" s="12" t="s">
        <v>212</v>
      </c>
      <c r="C12" s="13">
        <v>0.20833333333333329</v>
      </c>
      <c r="D12" s="15">
        <v>0.22916666666666671</v>
      </c>
      <c r="E12" s="15"/>
      <c r="F12" s="10">
        <f t="shared" si="1"/>
        <v>2.0833333333333426E-2</v>
      </c>
      <c r="G12" s="11"/>
    </row>
    <row r="13" spans="1:9" x14ac:dyDescent="0.25">
      <c r="A13" s="6">
        <f t="shared" si="0"/>
        <v>12</v>
      </c>
      <c r="B13" s="12" t="s">
        <v>213</v>
      </c>
      <c r="C13" s="13"/>
      <c r="D13" s="15"/>
      <c r="E13" s="15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97" t="s">
        <v>214</v>
      </c>
      <c r="C14" s="13"/>
      <c r="D14" s="15"/>
      <c r="E14" s="15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2" t="s">
        <v>215</v>
      </c>
      <c r="C15" s="13"/>
      <c r="D15" s="15"/>
      <c r="E15" s="15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2" t="s">
        <v>12</v>
      </c>
      <c r="C18" s="13"/>
      <c r="D18" s="15"/>
      <c r="E18" s="15"/>
      <c r="F18" s="10">
        <v>1.388888888888889E-2</v>
      </c>
      <c r="G18" s="11"/>
    </row>
    <row r="19" spans="1:7" x14ac:dyDescent="0.25">
      <c r="A19" s="6">
        <f t="shared" si="0"/>
        <v>18</v>
      </c>
      <c r="B19" s="12" t="s">
        <v>13</v>
      </c>
      <c r="C19" s="13"/>
      <c r="D19" s="15"/>
      <c r="E19" s="15"/>
      <c r="F19" s="10">
        <v>6.25E-2</v>
      </c>
      <c r="G19" s="11"/>
    </row>
    <row r="20" spans="1:7" x14ac:dyDescent="0.25">
      <c r="A20" s="6">
        <f t="shared" si="0"/>
        <v>19</v>
      </c>
      <c r="B20" s="12" t="s">
        <v>14</v>
      </c>
      <c r="C20" s="13"/>
      <c r="D20" s="15"/>
      <c r="E20" s="15"/>
      <c r="F20" s="10">
        <v>1.388888888888889E-2</v>
      </c>
      <c r="G20" s="11"/>
    </row>
    <row r="21" spans="1:7" ht="15" customHeight="1" thickBot="1" x14ac:dyDescent="0.3">
      <c r="A21" s="6">
        <f t="shared" si="0"/>
        <v>20</v>
      </c>
      <c r="B21" s="12" t="s">
        <v>15</v>
      </c>
      <c r="C21" s="16"/>
      <c r="D21" s="17"/>
      <c r="E21" s="15"/>
      <c r="F21" s="10">
        <v>1.041666666666667E-2</v>
      </c>
      <c r="G21" s="11"/>
    </row>
    <row r="22" spans="1:7" ht="15" customHeight="1" thickBot="1" x14ac:dyDescent="0.3">
      <c r="A22" s="18"/>
      <c r="B22" s="19" t="s">
        <v>16</v>
      </c>
      <c r="C22" s="20"/>
      <c r="D22" s="20"/>
      <c r="E22" s="21"/>
      <c r="F22" s="22">
        <f>SUM(F2:F21)</f>
        <v>0.32569444444444462</v>
      </c>
      <c r="G22" s="23"/>
    </row>
    <row r="26" spans="1:7" ht="15" customHeight="1" thickBot="1" x14ac:dyDescent="0.3"/>
    <row r="27" spans="1:7" ht="15" customHeight="1" thickBot="1" x14ac:dyDescent="0.3">
      <c r="A27" s="64" t="s">
        <v>0</v>
      </c>
      <c r="B27" s="65" t="s">
        <v>1</v>
      </c>
      <c r="C27" s="64" t="s">
        <v>33</v>
      </c>
    </row>
    <row r="28" spans="1:7" x14ac:dyDescent="0.25">
      <c r="A28" s="75">
        <v>1</v>
      </c>
      <c r="B28" s="66" t="s">
        <v>7</v>
      </c>
      <c r="C28" s="72">
        <v>1.111111111111111E-2</v>
      </c>
    </row>
    <row r="29" spans="1:7" x14ac:dyDescent="0.25">
      <c r="A29" s="75">
        <v>2</v>
      </c>
      <c r="B29" s="66" t="s">
        <v>9</v>
      </c>
      <c r="C29" s="72">
        <v>1.666666666666667E-2</v>
      </c>
    </row>
    <row r="30" spans="1:7" x14ac:dyDescent="0.25">
      <c r="A30" s="75">
        <v>3</v>
      </c>
      <c r="B30" s="66" t="s">
        <v>10</v>
      </c>
      <c r="C30" s="72">
        <v>6.9444444444444441E-3</v>
      </c>
    </row>
    <row r="31" spans="1:7" x14ac:dyDescent="0.25">
      <c r="A31" s="75">
        <v>4</v>
      </c>
      <c r="B31" s="66" t="s">
        <v>206</v>
      </c>
      <c r="C31" s="72">
        <v>1.388888888888889E-2</v>
      </c>
    </row>
    <row r="32" spans="1:7" x14ac:dyDescent="0.25">
      <c r="A32" s="75">
        <v>5</v>
      </c>
      <c r="B32" s="66" t="s">
        <v>143</v>
      </c>
      <c r="C32" s="72">
        <v>3.472222222222222E-3</v>
      </c>
    </row>
    <row r="33" spans="1:3" x14ac:dyDescent="0.25">
      <c r="A33" s="75">
        <v>6</v>
      </c>
      <c r="B33" s="66" t="s">
        <v>207</v>
      </c>
      <c r="C33" s="72">
        <v>2.777777777777778E-2</v>
      </c>
    </row>
    <row r="34" spans="1:3" x14ac:dyDescent="0.25">
      <c r="A34" s="75">
        <v>7</v>
      </c>
      <c r="B34" s="66" t="s">
        <v>209</v>
      </c>
      <c r="C34" s="72">
        <v>1.041666666666667E-2</v>
      </c>
    </row>
    <row r="35" spans="1:3" x14ac:dyDescent="0.25">
      <c r="A35" s="75">
        <v>8</v>
      </c>
      <c r="B35" s="66" t="s">
        <v>210</v>
      </c>
      <c r="C35" s="72">
        <v>4.1666666666666657E-2</v>
      </c>
    </row>
    <row r="36" spans="1:3" x14ac:dyDescent="0.25">
      <c r="A36" s="75">
        <v>9</v>
      </c>
      <c r="B36" s="66" t="s">
        <v>211</v>
      </c>
      <c r="C36" s="72">
        <v>4.4444444444444453E-2</v>
      </c>
    </row>
    <row r="37" spans="1:3" x14ac:dyDescent="0.25">
      <c r="A37" s="75">
        <v>10</v>
      </c>
      <c r="B37" s="66" t="s">
        <v>212</v>
      </c>
      <c r="C37" s="72">
        <v>2.0833333333333329E-2</v>
      </c>
    </row>
    <row r="38" spans="1:3" x14ac:dyDescent="0.25">
      <c r="A38" s="75">
        <v>11</v>
      </c>
      <c r="B38" s="66" t="s">
        <v>213</v>
      </c>
      <c r="C38" s="72">
        <v>1.388888888888889E-2</v>
      </c>
    </row>
    <row r="39" spans="1:3" x14ac:dyDescent="0.25">
      <c r="A39" s="75">
        <v>12</v>
      </c>
      <c r="B39" s="66" t="s">
        <v>214</v>
      </c>
      <c r="C39" s="72">
        <v>2.0833333333333329E-2</v>
      </c>
    </row>
    <row r="40" spans="1:3" x14ac:dyDescent="0.25">
      <c r="A40" s="75">
        <v>13</v>
      </c>
      <c r="B40" s="66" t="s">
        <v>215</v>
      </c>
      <c r="C40" s="72">
        <v>1.388888888888889E-2</v>
      </c>
    </row>
    <row r="41" spans="1:3" x14ac:dyDescent="0.25">
      <c r="A41" s="75">
        <v>14</v>
      </c>
      <c r="B41" s="66" t="s">
        <v>12</v>
      </c>
      <c r="C41" s="72">
        <v>1.388888888888889E-2</v>
      </c>
    </row>
    <row r="42" spans="1:3" x14ac:dyDescent="0.25">
      <c r="A42" s="75">
        <v>15</v>
      </c>
      <c r="B42" s="66" t="s">
        <v>13</v>
      </c>
      <c r="C42" s="72">
        <v>6.25E-2</v>
      </c>
    </row>
    <row r="43" spans="1:3" x14ac:dyDescent="0.25">
      <c r="A43" s="75">
        <v>16</v>
      </c>
      <c r="B43" s="66" t="s">
        <v>14</v>
      </c>
      <c r="C43" s="72">
        <v>1.388888888888889E-2</v>
      </c>
    </row>
    <row r="44" spans="1:3" ht="15" customHeight="1" thickBot="1" x14ac:dyDescent="0.3">
      <c r="A44" s="94">
        <v>17</v>
      </c>
      <c r="B44" s="95" t="s">
        <v>15</v>
      </c>
      <c r="C44" s="96">
        <v>1.041666666666667E-2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63"/>
  <sheetViews>
    <sheetView workbookViewId="0">
      <selection activeCell="B7" sqref="B7"/>
    </sheetView>
  </sheetViews>
  <sheetFormatPr defaultRowHeight="15" x14ac:dyDescent="0.25"/>
  <cols>
    <col min="1" max="1" width="6.7109375" bestFit="1" customWidth="1"/>
    <col min="2" max="2" width="70.42578125" customWidth="1"/>
    <col min="3" max="3" width="9.5703125" bestFit="1" customWidth="1"/>
    <col min="4" max="4" width="8.7109375" bestFit="1" customWidth="1"/>
    <col min="5" max="5" width="10.85546875" bestFit="1" customWidth="1"/>
    <col min="6" max="6" width="12.42578125" hidden="1" customWidth="1"/>
    <col min="7" max="7" width="14.85546875" style="74" customWidth="1"/>
  </cols>
  <sheetData>
    <row r="1" spans="1:11" ht="15" customHeight="1" thickBot="1" x14ac:dyDescent="0.3">
      <c r="A1" s="124" t="s">
        <v>0</v>
      </c>
      <c r="B1" s="125" t="s">
        <v>1</v>
      </c>
      <c r="C1" s="126" t="s">
        <v>2</v>
      </c>
      <c r="D1" s="127" t="s">
        <v>3</v>
      </c>
      <c r="E1" s="128" t="s">
        <v>5</v>
      </c>
      <c r="F1" s="127" t="s">
        <v>4</v>
      </c>
      <c r="G1" s="137" t="s">
        <v>6</v>
      </c>
    </row>
    <row r="2" spans="1:11" x14ac:dyDescent="0.25">
      <c r="A2" s="129">
        <f t="shared" ref="A2:A39" si="0">ROW() - ROW($A$1)</f>
        <v>1</v>
      </c>
      <c r="B2" s="7" t="s">
        <v>7</v>
      </c>
      <c r="C2" s="130">
        <v>0.3888888888888889</v>
      </c>
      <c r="D2" s="131">
        <v>0.39583333333333331</v>
      </c>
      <c r="E2" s="132">
        <v>6.9444444444444441E-3</v>
      </c>
      <c r="F2" s="131">
        <v>1.388888888888889E-2</v>
      </c>
      <c r="G2" s="138" t="s">
        <v>155</v>
      </c>
      <c r="I2" s="39" t="s">
        <v>8</v>
      </c>
    </row>
    <row r="3" spans="1:11" x14ac:dyDescent="0.25">
      <c r="A3" s="129">
        <f t="shared" si="0"/>
        <v>2</v>
      </c>
      <c r="B3" s="14" t="s">
        <v>10</v>
      </c>
      <c r="C3" s="133">
        <v>0.39583333333333331</v>
      </c>
      <c r="D3" s="132">
        <v>0.39930555555555558</v>
      </c>
      <c r="E3" s="132">
        <v>3.472222222222222E-3</v>
      </c>
      <c r="F3" s="132">
        <v>1.7361111111111108E-2</v>
      </c>
      <c r="G3" s="138" t="s">
        <v>155</v>
      </c>
    </row>
    <row r="4" spans="1:11" x14ac:dyDescent="0.25">
      <c r="A4" s="129">
        <f t="shared" si="0"/>
        <v>3</v>
      </c>
      <c r="B4" s="12" t="s">
        <v>9</v>
      </c>
      <c r="C4" s="133">
        <v>0.39930555555555558</v>
      </c>
      <c r="D4" s="132">
        <v>0.4201388888888889</v>
      </c>
      <c r="E4" s="132">
        <v>2.0833333333333329E-2</v>
      </c>
      <c r="F4" s="132">
        <v>6.9444444444444441E-3</v>
      </c>
      <c r="G4" s="138" t="s">
        <v>155</v>
      </c>
    </row>
    <row r="5" spans="1:11" x14ac:dyDescent="0.25">
      <c r="A5" s="129">
        <f t="shared" si="0"/>
        <v>4</v>
      </c>
      <c r="B5" s="97" t="s">
        <v>216</v>
      </c>
      <c r="C5" s="133">
        <v>0.4201388888888889</v>
      </c>
      <c r="D5" s="132">
        <v>0.4513888888888889</v>
      </c>
      <c r="E5" s="132">
        <v>3.125E-2</v>
      </c>
      <c r="F5" s="132">
        <v>4.1666666666666657E-2</v>
      </c>
      <c r="G5" s="138" t="s">
        <v>155</v>
      </c>
    </row>
    <row r="6" spans="1:11" x14ac:dyDescent="0.25">
      <c r="A6" s="129">
        <f t="shared" si="0"/>
        <v>5</v>
      </c>
      <c r="B6" s="12" t="s">
        <v>143</v>
      </c>
      <c r="C6" s="133">
        <v>0.4513888888888889</v>
      </c>
      <c r="D6" s="132">
        <v>0.4548611111111111</v>
      </c>
      <c r="E6" s="132">
        <v>3.472222222222222E-3</v>
      </c>
      <c r="F6" s="132"/>
      <c r="G6" s="138" t="s">
        <v>155</v>
      </c>
    </row>
    <row r="7" spans="1:11" x14ac:dyDescent="0.25">
      <c r="A7" s="129">
        <f t="shared" si="0"/>
        <v>6</v>
      </c>
      <c r="B7" s="12" t="s">
        <v>217</v>
      </c>
      <c r="C7" s="133">
        <v>0.4548611111111111</v>
      </c>
      <c r="D7" s="132">
        <v>0.46527777777777779</v>
      </c>
      <c r="E7" s="132">
        <v>1.388888888888889E-2</v>
      </c>
      <c r="F7" s="132"/>
      <c r="G7" s="138" t="s">
        <v>155</v>
      </c>
    </row>
    <row r="8" spans="1:11" x14ac:dyDescent="0.25">
      <c r="A8" s="129">
        <f t="shared" si="0"/>
        <v>7</v>
      </c>
      <c r="B8" s="97" t="s">
        <v>218</v>
      </c>
      <c r="C8" s="133">
        <v>0.47222222222222221</v>
      </c>
      <c r="D8" s="132">
        <v>0.4826388888888889</v>
      </c>
      <c r="E8" s="132">
        <v>1.041666666666667E-2</v>
      </c>
      <c r="F8" s="132"/>
      <c r="G8" s="138" t="s">
        <v>155</v>
      </c>
    </row>
    <row r="9" spans="1:11" x14ac:dyDescent="0.25">
      <c r="A9" s="129">
        <f t="shared" si="0"/>
        <v>8</v>
      </c>
      <c r="B9" s="12" t="s">
        <v>219</v>
      </c>
      <c r="C9" s="133">
        <v>0.4826388888888889</v>
      </c>
      <c r="D9" s="132">
        <v>0.49652777777777779</v>
      </c>
      <c r="E9" s="132">
        <f>D9-C9</f>
        <v>1.3888888888888895E-2</v>
      </c>
      <c r="F9" s="132"/>
      <c r="G9" s="138" t="s">
        <v>155</v>
      </c>
    </row>
    <row r="10" spans="1:11" x14ac:dyDescent="0.25">
      <c r="A10" s="129">
        <f t="shared" si="0"/>
        <v>9</v>
      </c>
      <c r="B10" s="12" t="s">
        <v>220</v>
      </c>
      <c r="C10" s="133">
        <v>0.49652777777777779</v>
      </c>
      <c r="D10" s="132">
        <v>0.51388888888888884</v>
      </c>
      <c r="E10" s="132">
        <v>1.7361111111111108E-2</v>
      </c>
      <c r="F10" s="132"/>
      <c r="G10" s="138" t="s">
        <v>155</v>
      </c>
    </row>
    <row r="11" spans="1:11" ht="30" customHeight="1" x14ac:dyDescent="0.25">
      <c r="A11" s="129">
        <f t="shared" si="0"/>
        <v>10</v>
      </c>
      <c r="B11" s="12" t="s">
        <v>221</v>
      </c>
      <c r="C11" s="133">
        <v>0.52083333333333337</v>
      </c>
      <c r="D11" s="132">
        <v>0.53125</v>
      </c>
      <c r="E11" s="132">
        <v>1.041666666666667E-2</v>
      </c>
      <c r="F11" s="134"/>
      <c r="G11" s="138" t="s">
        <v>155</v>
      </c>
      <c r="K11" s="136"/>
    </row>
    <row r="12" spans="1:11" x14ac:dyDescent="0.25">
      <c r="A12" s="129">
        <f t="shared" si="0"/>
        <v>11</v>
      </c>
      <c r="B12" s="12" t="s">
        <v>122</v>
      </c>
      <c r="C12" s="133">
        <v>0.58680555555555558</v>
      </c>
      <c r="D12" s="134">
        <v>0.60069444444444442</v>
      </c>
      <c r="E12" s="132">
        <v>1.388888888888889E-2</v>
      </c>
      <c r="F12" s="134"/>
      <c r="G12" s="138" t="s">
        <v>155</v>
      </c>
    </row>
    <row r="13" spans="1:11" x14ac:dyDescent="0.25">
      <c r="A13" s="6">
        <f t="shared" si="0"/>
        <v>12</v>
      </c>
      <c r="B13" s="12" t="s">
        <v>222</v>
      </c>
      <c r="C13" s="133">
        <v>0.60069444444444442</v>
      </c>
      <c r="D13" s="134">
        <v>0.60763888888888884</v>
      </c>
      <c r="E13" s="132">
        <v>6.9444444444444441E-3</v>
      </c>
      <c r="F13" s="15"/>
      <c r="G13" s="139" t="s">
        <v>155</v>
      </c>
    </row>
    <row r="14" spans="1:11" x14ac:dyDescent="0.25">
      <c r="A14" s="129">
        <f t="shared" si="0"/>
        <v>13</v>
      </c>
      <c r="B14" s="12" t="s">
        <v>223</v>
      </c>
      <c r="C14" s="133">
        <v>0.60763888888888884</v>
      </c>
      <c r="D14" s="134">
        <v>0.65625</v>
      </c>
      <c r="E14" s="132">
        <v>1.041666666666667E-2</v>
      </c>
      <c r="F14" s="134"/>
      <c r="G14" s="138" t="s">
        <v>155</v>
      </c>
    </row>
    <row r="15" spans="1:11" x14ac:dyDescent="0.25">
      <c r="A15" s="129">
        <f t="shared" si="0"/>
        <v>14</v>
      </c>
      <c r="B15" s="12" t="s">
        <v>224</v>
      </c>
      <c r="C15" s="133">
        <v>0.61458333333333337</v>
      </c>
      <c r="D15" s="134">
        <v>0.62847222222222221</v>
      </c>
      <c r="E15" s="132">
        <v>1.388888888888889E-2</v>
      </c>
      <c r="F15" s="134"/>
      <c r="G15" s="138" t="s">
        <v>155</v>
      </c>
    </row>
    <row r="16" spans="1:11" x14ac:dyDescent="0.25">
      <c r="A16" s="129">
        <f t="shared" si="0"/>
        <v>15</v>
      </c>
      <c r="B16" s="97" t="s">
        <v>225</v>
      </c>
      <c r="C16" s="133">
        <v>0.63541666666666663</v>
      </c>
      <c r="D16" s="134">
        <v>0.64583333333333337</v>
      </c>
      <c r="E16" s="132">
        <v>1.041666666666667E-2</v>
      </c>
      <c r="F16" s="134"/>
      <c r="G16" s="138" t="s">
        <v>155</v>
      </c>
    </row>
    <row r="17" spans="1:7" x14ac:dyDescent="0.25">
      <c r="A17" s="129">
        <f t="shared" si="0"/>
        <v>16</v>
      </c>
      <c r="B17" s="12" t="s">
        <v>32</v>
      </c>
      <c r="C17" s="133">
        <v>0.65625</v>
      </c>
      <c r="D17" s="134">
        <v>0.6875</v>
      </c>
      <c r="E17" s="132">
        <f>D17-C17</f>
        <v>3.125E-2</v>
      </c>
      <c r="F17" s="134"/>
      <c r="G17" s="138" t="s">
        <v>155</v>
      </c>
    </row>
    <row r="18" spans="1:7" x14ac:dyDescent="0.25">
      <c r="A18" s="129">
        <f t="shared" si="0"/>
        <v>17</v>
      </c>
      <c r="B18" s="12" t="s">
        <v>226</v>
      </c>
      <c r="C18" s="133">
        <v>0.6875</v>
      </c>
      <c r="D18" s="134">
        <v>0.70486111111111116</v>
      </c>
      <c r="E18" s="132">
        <v>1.7361111111111108E-2</v>
      </c>
      <c r="F18" s="134"/>
      <c r="G18" s="138" t="s">
        <v>155</v>
      </c>
    </row>
    <row r="19" spans="1:7" x14ac:dyDescent="0.25">
      <c r="A19" s="129">
        <f t="shared" si="0"/>
        <v>18</v>
      </c>
      <c r="B19" s="167"/>
      <c r="C19" s="133"/>
      <c r="D19" s="134"/>
      <c r="E19" s="132">
        <f>D19-C19</f>
        <v>0</v>
      </c>
      <c r="F19" s="134"/>
      <c r="G19" s="138" t="s">
        <v>155</v>
      </c>
    </row>
    <row r="20" spans="1:7" x14ac:dyDescent="0.25">
      <c r="A20" s="129">
        <f t="shared" si="0"/>
        <v>19</v>
      </c>
      <c r="B20" s="167" t="s">
        <v>227</v>
      </c>
      <c r="C20" s="133"/>
      <c r="D20" s="134"/>
      <c r="E20" s="132">
        <f>D20-C20</f>
        <v>0</v>
      </c>
      <c r="F20" s="134"/>
      <c r="G20" s="138" t="s">
        <v>228</v>
      </c>
    </row>
    <row r="21" spans="1:7" x14ac:dyDescent="0.25">
      <c r="A21" s="129">
        <f t="shared" si="0"/>
        <v>20</v>
      </c>
      <c r="B21" s="167" t="s">
        <v>229</v>
      </c>
      <c r="C21" s="133">
        <v>0.70833333333333337</v>
      </c>
      <c r="D21" s="134">
        <v>0.72569444444444442</v>
      </c>
      <c r="E21" s="132">
        <v>1.7361111111111108E-2</v>
      </c>
      <c r="F21" s="134"/>
      <c r="G21" s="138" t="s">
        <v>155</v>
      </c>
    </row>
    <row r="22" spans="1:7" x14ac:dyDescent="0.25">
      <c r="A22" s="129">
        <f t="shared" si="0"/>
        <v>21</v>
      </c>
      <c r="B22" s="12"/>
      <c r="C22" s="133"/>
      <c r="D22" s="134"/>
      <c r="E22" s="132">
        <f t="shared" ref="E22:E35" si="1">D22-C22</f>
        <v>0</v>
      </c>
      <c r="F22" s="134"/>
      <c r="G22" s="138"/>
    </row>
    <row r="23" spans="1:7" x14ac:dyDescent="0.25">
      <c r="A23" s="129">
        <f t="shared" si="0"/>
        <v>22</v>
      </c>
      <c r="B23" s="12"/>
      <c r="C23" s="133"/>
      <c r="D23" s="134"/>
      <c r="E23" s="132">
        <f t="shared" si="1"/>
        <v>0</v>
      </c>
      <c r="F23" s="134"/>
      <c r="G23" s="138"/>
    </row>
    <row r="24" spans="1:7" x14ac:dyDescent="0.25">
      <c r="A24" s="129">
        <f t="shared" si="0"/>
        <v>23</v>
      </c>
      <c r="B24" s="12"/>
      <c r="C24" s="133"/>
      <c r="D24" s="134"/>
      <c r="E24" s="132">
        <f t="shared" si="1"/>
        <v>0</v>
      </c>
      <c r="F24" s="134"/>
      <c r="G24" s="138"/>
    </row>
    <row r="25" spans="1:7" x14ac:dyDescent="0.25">
      <c r="A25" s="129">
        <f t="shared" si="0"/>
        <v>24</v>
      </c>
      <c r="B25" s="12"/>
      <c r="C25" s="133"/>
      <c r="D25" s="134"/>
      <c r="E25" s="132">
        <f t="shared" si="1"/>
        <v>0</v>
      </c>
      <c r="F25" s="134"/>
      <c r="G25" s="138"/>
    </row>
    <row r="26" spans="1:7" x14ac:dyDescent="0.25">
      <c r="A26" s="129">
        <f t="shared" si="0"/>
        <v>25</v>
      </c>
      <c r="B26" s="12"/>
      <c r="C26" s="133"/>
      <c r="D26" s="134"/>
      <c r="E26" s="132">
        <f t="shared" si="1"/>
        <v>0</v>
      </c>
      <c r="F26" s="134"/>
      <c r="G26" s="138"/>
    </row>
    <row r="27" spans="1:7" x14ac:dyDescent="0.25">
      <c r="A27" s="129">
        <f t="shared" si="0"/>
        <v>26</v>
      </c>
      <c r="B27" s="12"/>
      <c r="C27" s="133"/>
      <c r="D27" s="134"/>
      <c r="E27" s="132">
        <f t="shared" si="1"/>
        <v>0</v>
      </c>
      <c r="F27" s="134"/>
      <c r="G27" s="138"/>
    </row>
    <row r="28" spans="1:7" x14ac:dyDescent="0.25">
      <c r="A28" s="129">
        <f t="shared" si="0"/>
        <v>27</v>
      </c>
      <c r="B28" s="12"/>
      <c r="C28" s="133"/>
      <c r="D28" s="134"/>
      <c r="E28" s="132">
        <f t="shared" si="1"/>
        <v>0</v>
      </c>
      <c r="F28" s="134"/>
      <c r="G28" s="138"/>
    </row>
    <row r="29" spans="1:7" x14ac:dyDescent="0.25">
      <c r="A29" s="129">
        <f t="shared" si="0"/>
        <v>28</v>
      </c>
      <c r="B29" s="12"/>
      <c r="C29" s="133"/>
      <c r="D29" s="134"/>
      <c r="E29" s="132">
        <f t="shared" si="1"/>
        <v>0</v>
      </c>
      <c r="F29" s="134"/>
      <c r="G29" s="138"/>
    </row>
    <row r="30" spans="1:7" x14ac:dyDescent="0.25">
      <c r="A30" s="129">
        <f t="shared" si="0"/>
        <v>29</v>
      </c>
      <c r="B30" s="12"/>
      <c r="C30" s="133"/>
      <c r="D30" s="134"/>
      <c r="E30" s="132">
        <f t="shared" si="1"/>
        <v>0</v>
      </c>
      <c r="F30" s="134"/>
      <c r="G30" s="138"/>
    </row>
    <row r="31" spans="1:7" x14ac:dyDescent="0.25">
      <c r="A31" s="129">
        <f t="shared" si="0"/>
        <v>30</v>
      </c>
      <c r="B31" s="12"/>
      <c r="C31" s="133"/>
      <c r="D31" s="134"/>
      <c r="E31" s="132">
        <f t="shared" si="1"/>
        <v>0</v>
      </c>
      <c r="F31" s="134"/>
      <c r="G31" s="138"/>
    </row>
    <row r="32" spans="1:7" x14ac:dyDescent="0.25">
      <c r="A32" s="129">
        <f t="shared" si="0"/>
        <v>31</v>
      </c>
      <c r="B32" s="12"/>
      <c r="C32" s="133"/>
      <c r="D32" s="134"/>
      <c r="E32" s="132">
        <f t="shared" si="1"/>
        <v>0</v>
      </c>
      <c r="F32" s="134"/>
      <c r="G32" s="138"/>
    </row>
    <row r="33" spans="1:7" x14ac:dyDescent="0.25">
      <c r="A33" s="129">
        <f t="shared" si="0"/>
        <v>32</v>
      </c>
      <c r="B33" s="12"/>
      <c r="C33" s="133"/>
      <c r="D33" s="134"/>
      <c r="E33" s="132">
        <f t="shared" si="1"/>
        <v>0</v>
      </c>
      <c r="F33" s="134"/>
      <c r="G33" s="138"/>
    </row>
    <row r="34" spans="1:7" x14ac:dyDescent="0.25">
      <c r="A34" s="129">
        <f t="shared" si="0"/>
        <v>33</v>
      </c>
      <c r="B34" s="12"/>
      <c r="C34" s="133"/>
      <c r="D34" s="134"/>
      <c r="E34" s="132">
        <f t="shared" si="1"/>
        <v>0</v>
      </c>
      <c r="F34" s="134"/>
      <c r="G34" s="138"/>
    </row>
    <row r="35" spans="1:7" x14ac:dyDescent="0.25">
      <c r="A35" s="129">
        <f t="shared" si="0"/>
        <v>34</v>
      </c>
      <c r="B35" s="12"/>
      <c r="C35" s="133"/>
      <c r="D35" s="134"/>
      <c r="E35" s="132">
        <f t="shared" si="1"/>
        <v>0</v>
      </c>
      <c r="F35" s="134"/>
      <c r="G35" s="138"/>
    </row>
    <row r="36" spans="1:7" x14ac:dyDescent="0.25">
      <c r="A36" s="129">
        <f t="shared" si="0"/>
        <v>35</v>
      </c>
      <c r="B36" s="12" t="s">
        <v>230</v>
      </c>
      <c r="C36" s="133">
        <v>0.72569444444444442</v>
      </c>
      <c r="D36" s="134">
        <v>0.73958333333333337</v>
      </c>
      <c r="E36" s="132">
        <v>6.9444444444444441E-3</v>
      </c>
      <c r="F36" s="134"/>
      <c r="G36" s="138" t="s">
        <v>155</v>
      </c>
    </row>
    <row r="37" spans="1:7" x14ac:dyDescent="0.25">
      <c r="A37" s="129">
        <f t="shared" si="0"/>
        <v>36</v>
      </c>
      <c r="B37" s="12" t="s">
        <v>13</v>
      </c>
      <c r="C37" s="133">
        <v>0.73958333333333337</v>
      </c>
      <c r="D37" s="134">
        <v>0.80208333333333337</v>
      </c>
      <c r="E37" s="132">
        <v>6.25E-2</v>
      </c>
      <c r="F37" s="134"/>
      <c r="G37" s="138" t="s">
        <v>155</v>
      </c>
    </row>
    <row r="38" spans="1:7" x14ac:dyDescent="0.25">
      <c r="A38" s="129">
        <f t="shared" si="0"/>
        <v>37</v>
      </c>
      <c r="B38" s="12" t="s">
        <v>231</v>
      </c>
      <c r="C38" s="133">
        <v>0.80208333333333337</v>
      </c>
      <c r="D38" s="134">
        <v>0.81597222222222221</v>
      </c>
      <c r="E38" s="132">
        <v>1.041666666666667E-2</v>
      </c>
      <c r="F38" s="134"/>
      <c r="G38" s="138" t="s">
        <v>155</v>
      </c>
    </row>
    <row r="39" spans="1:7" ht="15" customHeight="1" thickBot="1" x14ac:dyDescent="0.3">
      <c r="A39" s="129">
        <f t="shared" si="0"/>
        <v>38</v>
      </c>
      <c r="B39" s="12" t="s">
        <v>232</v>
      </c>
      <c r="C39" s="168">
        <v>0.81597222222222221</v>
      </c>
      <c r="D39" s="168">
        <v>0.82638888888888884</v>
      </c>
      <c r="E39" s="132">
        <v>1.041666666666667E-2</v>
      </c>
      <c r="F39" s="134"/>
      <c r="G39" s="138" t="s">
        <v>155</v>
      </c>
    </row>
    <row r="40" spans="1:7" ht="15" customHeight="1" thickBot="1" x14ac:dyDescent="0.3">
      <c r="A40" s="135"/>
      <c r="B40" s="19" t="s">
        <v>16</v>
      </c>
      <c r="C40" s="21"/>
      <c r="D40" s="106"/>
      <c r="E40" s="132">
        <f>SUM(E2:E39)</f>
        <v>0.34375</v>
      </c>
      <c r="F40" s="21"/>
      <c r="G40" s="140"/>
    </row>
    <row r="41" spans="1:7" ht="15" customHeight="1" thickBot="1" x14ac:dyDescent="0.3"/>
    <row r="42" spans="1:7" ht="15" customHeight="1" thickBot="1" x14ac:dyDescent="0.3">
      <c r="A42" s="169" t="s">
        <v>0</v>
      </c>
      <c r="B42" s="170" t="s">
        <v>1</v>
      </c>
      <c r="C42" s="169" t="s">
        <v>33</v>
      </c>
    </row>
    <row r="43" spans="1:7" x14ac:dyDescent="0.25">
      <c r="A43" s="171">
        <v>1</v>
      </c>
      <c r="B43" s="174" t="s">
        <v>7</v>
      </c>
      <c r="C43" s="177">
        <v>6.9444444444444441E-3</v>
      </c>
    </row>
    <row r="44" spans="1:7" x14ac:dyDescent="0.25">
      <c r="A44" s="172">
        <v>2</v>
      </c>
      <c r="B44" s="175" t="s">
        <v>10</v>
      </c>
      <c r="C44" s="178">
        <v>3.472222222222222E-3</v>
      </c>
    </row>
    <row r="45" spans="1:7" x14ac:dyDescent="0.25">
      <c r="A45" s="172">
        <v>3</v>
      </c>
      <c r="B45" s="175" t="s">
        <v>9</v>
      </c>
      <c r="C45" s="178">
        <v>2.0833333333333329E-2</v>
      </c>
    </row>
    <row r="46" spans="1:7" x14ac:dyDescent="0.25">
      <c r="A46" s="172">
        <v>4</v>
      </c>
      <c r="B46" s="175" t="s">
        <v>216</v>
      </c>
      <c r="C46" s="178">
        <v>3.125E-2</v>
      </c>
    </row>
    <row r="47" spans="1:7" x14ac:dyDescent="0.25">
      <c r="A47" s="172">
        <v>5</v>
      </c>
      <c r="B47" s="175" t="s">
        <v>143</v>
      </c>
      <c r="C47" s="178">
        <v>3.472222222222222E-3</v>
      </c>
    </row>
    <row r="48" spans="1:7" x14ac:dyDescent="0.25">
      <c r="A48" s="172">
        <v>6</v>
      </c>
      <c r="B48" s="175" t="s">
        <v>233</v>
      </c>
      <c r="C48" s="178">
        <v>1.388888888888889E-2</v>
      </c>
    </row>
    <row r="49" spans="1:3" x14ac:dyDescent="0.25">
      <c r="A49" s="172">
        <v>7</v>
      </c>
      <c r="B49" s="175" t="s">
        <v>218</v>
      </c>
      <c r="C49" s="178">
        <v>1.041666666666667E-2</v>
      </c>
    </row>
    <row r="50" spans="1:3" x14ac:dyDescent="0.25">
      <c r="A50" s="172">
        <v>8</v>
      </c>
      <c r="B50" s="175" t="s">
        <v>220</v>
      </c>
      <c r="C50" s="178">
        <v>1.7361111111111108E-2</v>
      </c>
    </row>
    <row r="51" spans="1:3" x14ac:dyDescent="0.25">
      <c r="A51" s="172">
        <v>9</v>
      </c>
      <c r="B51" s="175" t="s">
        <v>234</v>
      </c>
      <c r="C51" s="178">
        <v>1.041666666666667E-2</v>
      </c>
    </row>
    <row r="52" spans="1:3" x14ac:dyDescent="0.25">
      <c r="A52" s="172">
        <v>10</v>
      </c>
      <c r="B52" s="175" t="s">
        <v>122</v>
      </c>
      <c r="C52" s="178">
        <v>1.388888888888889E-2</v>
      </c>
    </row>
    <row r="53" spans="1:3" x14ac:dyDescent="0.25">
      <c r="A53" s="172">
        <v>11</v>
      </c>
      <c r="B53" s="175" t="s">
        <v>222</v>
      </c>
      <c r="C53" s="178">
        <v>6.9444444444444441E-3</v>
      </c>
    </row>
    <row r="54" spans="1:3" x14ac:dyDescent="0.25">
      <c r="A54" s="172">
        <v>12</v>
      </c>
      <c r="B54" s="175" t="s">
        <v>223</v>
      </c>
      <c r="C54" s="178">
        <v>1.041666666666667E-2</v>
      </c>
    </row>
    <row r="55" spans="1:3" x14ac:dyDescent="0.25">
      <c r="A55" s="172">
        <v>13</v>
      </c>
      <c r="B55" s="175" t="s">
        <v>235</v>
      </c>
      <c r="C55" s="178">
        <v>1.388888888888889E-2</v>
      </c>
    </row>
    <row r="56" spans="1:3" x14ac:dyDescent="0.25">
      <c r="A56" s="172">
        <v>14</v>
      </c>
      <c r="B56" s="175" t="s">
        <v>225</v>
      </c>
      <c r="C56" s="178">
        <v>1.041666666666667E-2</v>
      </c>
    </row>
    <row r="57" spans="1:3" x14ac:dyDescent="0.25">
      <c r="A57" s="172">
        <v>15</v>
      </c>
      <c r="B57" s="175" t="s">
        <v>226</v>
      </c>
      <c r="C57" s="178">
        <v>1.7361111111111108E-2</v>
      </c>
    </row>
    <row r="58" spans="1:3" x14ac:dyDescent="0.25">
      <c r="A58" s="172">
        <v>16</v>
      </c>
      <c r="B58" s="175" t="s">
        <v>229</v>
      </c>
      <c r="C58" s="178">
        <v>1.7361111111111108E-2</v>
      </c>
    </row>
    <row r="59" spans="1:3" x14ac:dyDescent="0.25">
      <c r="A59" s="172">
        <v>17</v>
      </c>
      <c r="B59" s="175" t="s">
        <v>230</v>
      </c>
      <c r="C59" s="178">
        <v>6.9444444444444441E-3</v>
      </c>
    </row>
    <row r="60" spans="1:3" x14ac:dyDescent="0.25">
      <c r="A60" s="172">
        <v>20</v>
      </c>
      <c r="B60" s="175" t="s">
        <v>13</v>
      </c>
      <c r="C60" s="178">
        <v>6.25E-2</v>
      </c>
    </row>
    <row r="61" spans="1:3" x14ac:dyDescent="0.25">
      <c r="A61" s="172">
        <v>21</v>
      </c>
      <c r="B61" s="175" t="s">
        <v>236</v>
      </c>
      <c r="C61" s="178">
        <v>1.041666666666667E-2</v>
      </c>
    </row>
    <row r="62" spans="1:3" ht="15" customHeight="1" thickBot="1" x14ac:dyDescent="0.3">
      <c r="A62" s="173">
        <v>22</v>
      </c>
      <c r="B62" s="176" t="s">
        <v>232</v>
      </c>
      <c r="C62" s="179">
        <v>1.041666666666667E-2</v>
      </c>
    </row>
    <row r="63" spans="1:3" x14ac:dyDescent="0.25">
      <c r="C63" s="29">
        <f>SUM(C43:C62)</f>
        <v>0.29861111111111116</v>
      </c>
    </row>
  </sheetData>
  <conditionalFormatting sqref="G2:G39">
    <cfRule type="expression" dxfId="14" priority="1">
      <formula>SEARCH("In-Progress", G2)</formula>
    </cfRule>
    <cfRule type="expression" dxfId="13" priority="2">
      <formula>SEARCH("Incomplete", G2)</formula>
    </cfRule>
    <cfRule type="expression" dxfId="12" priority="3">
      <formula>SEARCH("Completed", G2)</formula>
    </cfRule>
  </conditionalFormatting>
  <dataValidations count="1">
    <dataValidation type="list" allowBlank="1" showInputMessage="1" showErrorMessage="1" sqref="G2:G39" xr:uid="{00000000-0002-0000-0B00-000000000000}">
      <formula1>"Completed, Incomplete, In-Progress"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6"/>
  <sheetViews>
    <sheetView topLeftCell="A4" workbookViewId="0">
      <selection activeCell="G20" sqref="G20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10.5703125" bestFit="1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189" t="s">
        <v>237</v>
      </c>
      <c r="C2" s="8">
        <v>0.38194444444444442</v>
      </c>
      <c r="D2" s="9">
        <v>0.39583333333333331</v>
      </c>
      <c r="E2" s="9">
        <v>1.388888888888889E-2</v>
      </c>
      <c r="F2" s="10">
        <f t="shared" ref="F2:F16" si="1">D2-C2</f>
        <v>1.3888888888888895E-2</v>
      </c>
      <c r="G2" s="139" t="s">
        <v>155</v>
      </c>
      <c r="I2" s="39" t="s">
        <v>8</v>
      </c>
    </row>
    <row r="3" spans="1:9" x14ac:dyDescent="0.25">
      <c r="A3" s="6">
        <f t="shared" si="0"/>
        <v>2</v>
      </c>
      <c r="B3" s="99" t="s">
        <v>226</v>
      </c>
      <c r="C3" s="13">
        <v>0.39583333333333331</v>
      </c>
      <c r="D3" s="10">
        <v>0.41666666666666669</v>
      </c>
      <c r="E3" s="10">
        <v>1.7361111111111108E-2</v>
      </c>
      <c r="F3" s="10">
        <f t="shared" si="1"/>
        <v>2.083333333333337E-2</v>
      </c>
      <c r="G3" s="139" t="s">
        <v>155</v>
      </c>
    </row>
    <row r="4" spans="1:9" x14ac:dyDescent="0.25">
      <c r="A4" s="6">
        <f t="shared" si="0"/>
        <v>3</v>
      </c>
      <c r="B4" s="190" t="s">
        <v>238</v>
      </c>
      <c r="C4" s="13">
        <v>0.41666666666666669</v>
      </c>
      <c r="D4" s="10">
        <v>0.43055555555555558</v>
      </c>
      <c r="E4" s="10">
        <v>6.9444444444444441E-3</v>
      </c>
      <c r="F4" s="10">
        <f t="shared" si="1"/>
        <v>1.3888888888888895E-2</v>
      </c>
      <c r="G4" s="139" t="s">
        <v>155</v>
      </c>
    </row>
    <row r="5" spans="1:9" x14ac:dyDescent="0.25">
      <c r="A5" s="6">
        <f t="shared" si="0"/>
        <v>4</v>
      </c>
      <c r="B5" s="99" t="s">
        <v>239</v>
      </c>
      <c r="C5" s="10">
        <v>0.43055555555555558</v>
      </c>
      <c r="D5" s="10">
        <v>0.4375</v>
      </c>
      <c r="E5" s="10">
        <v>4.1666666666666657E-2</v>
      </c>
      <c r="F5" s="10">
        <f t="shared" si="1"/>
        <v>6.9444444444444198E-3</v>
      </c>
      <c r="G5" s="139" t="s">
        <v>155</v>
      </c>
    </row>
    <row r="6" spans="1:9" x14ac:dyDescent="0.25">
      <c r="A6" s="6">
        <f t="shared" si="0"/>
        <v>5</v>
      </c>
      <c r="B6" s="99" t="s">
        <v>240</v>
      </c>
      <c r="C6" s="13">
        <v>0.4375</v>
      </c>
      <c r="D6" s="10">
        <v>0.44444444444444442</v>
      </c>
      <c r="E6" s="10"/>
      <c r="F6" s="10">
        <f t="shared" si="1"/>
        <v>6.9444444444444198E-3</v>
      </c>
      <c r="G6" s="139" t="s">
        <v>155</v>
      </c>
    </row>
    <row r="7" spans="1:9" x14ac:dyDescent="0.25">
      <c r="A7" s="6">
        <f t="shared" si="0"/>
        <v>6</v>
      </c>
      <c r="B7" s="190" t="s">
        <v>241</v>
      </c>
      <c r="C7" s="13">
        <v>0.44444444444444442</v>
      </c>
      <c r="D7" s="10">
        <v>0.4513888888888889</v>
      </c>
      <c r="E7" s="10"/>
      <c r="F7" s="10">
        <f t="shared" si="1"/>
        <v>6.9444444444444753E-3</v>
      </c>
      <c r="G7" s="139" t="s">
        <v>155</v>
      </c>
    </row>
    <row r="8" spans="1:9" x14ac:dyDescent="0.25">
      <c r="A8" s="6">
        <f t="shared" si="0"/>
        <v>7</v>
      </c>
      <c r="B8" s="99" t="s">
        <v>242</v>
      </c>
      <c r="C8" s="13">
        <v>0.4513888888888889</v>
      </c>
      <c r="D8" s="10">
        <v>0.45833333333333331</v>
      </c>
      <c r="E8" s="10"/>
      <c r="F8" s="13">
        <f t="shared" si="1"/>
        <v>6.9444444444444198E-3</v>
      </c>
      <c r="G8" s="139" t="s">
        <v>155</v>
      </c>
    </row>
    <row r="9" spans="1:9" x14ac:dyDescent="0.25">
      <c r="A9" s="6">
        <f t="shared" si="0"/>
        <v>8</v>
      </c>
      <c r="B9" s="99" t="s">
        <v>243</v>
      </c>
      <c r="C9" s="13">
        <v>0.45833333333333331</v>
      </c>
      <c r="D9" s="10">
        <v>0.46527777777777779</v>
      </c>
      <c r="E9" s="10"/>
      <c r="F9" s="10">
        <f t="shared" si="1"/>
        <v>6.9444444444444753E-3</v>
      </c>
      <c r="G9" s="139" t="s">
        <v>155</v>
      </c>
    </row>
    <row r="10" spans="1:9" x14ac:dyDescent="0.25">
      <c r="A10" s="6">
        <f t="shared" si="0"/>
        <v>9</v>
      </c>
      <c r="B10" s="99" t="s">
        <v>143</v>
      </c>
      <c r="C10" s="13">
        <v>0.46527777777777779</v>
      </c>
      <c r="D10" s="10">
        <v>0.47222222222222221</v>
      </c>
      <c r="E10" s="10"/>
      <c r="F10" s="10">
        <f t="shared" si="1"/>
        <v>6.9444444444444198E-3</v>
      </c>
      <c r="G10" s="139" t="s">
        <v>155</v>
      </c>
    </row>
    <row r="11" spans="1:9" x14ac:dyDescent="0.25">
      <c r="A11" s="6">
        <f t="shared" si="0"/>
        <v>10</v>
      </c>
      <c r="B11" s="99" t="s">
        <v>219</v>
      </c>
      <c r="C11" s="13">
        <v>0.47708333333333341</v>
      </c>
      <c r="D11" s="15">
        <v>0.51041666666666663</v>
      </c>
      <c r="E11" s="15"/>
      <c r="F11" s="10">
        <f t="shared" si="1"/>
        <v>3.3333333333333215E-2</v>
      </c>
      <c r="G11" s="139" t="s">
        <v>155</v>
      </c>
    </row>
    <row r="12" spans="1:9" x14ac:dyDescent="0.25">
      <c r="A12" s="6">
        <f t="shared" si="0"/>
        <v>11</v>
      </c>
      <c r="B12" s="99" t="s">
        <v>244</v>
      </c>
      <c r="C12" s="13">
        <v>0.52430555555555558</v>
      </c>
      <c r="D12" s="15">
        <v>0.5444444444444444</v>
      </c>
      <c r="E12" s="15"/>
      <c r="F12" s="10">
        <f t="shared" si="1"/>
        <v>2.0138888888888817E-2</v>
      </c>
      <c r="G12" s="139" t="s">
        <v>155</v>
      </c>
    </row>
    <row r="13" spans="1:9" x14ac:dyDescent="0.25">
      <c r="A13" s="6">
        <f t="shared" si="0"/>
        <v>12</v>
      </c>
      <c r="B13" s="99" t="s">
        <v>245</v>
      </c>
      <c r="C13" s="13"/>
      <c r="D13" s="15"/>
      <c r="E13" s="15"/>
      <c r="F13" s="10">
        <f t="shared" si="1"/>
        <v>0</v>
      </c>
      <c r="G13" s="139" t="s">
        <v>165</v>
      </c>
    </row>
    <row r="14" spans="1:9" x14ac:dyDescent="0.25">
      <c r="A14" s="6">
        <f t="shared" si="0"/>
        <v>13</v>
      </c>
      <c r="B14" s="12" t="s">
        <v>32</v>
      </c>
      <c r="C14" s="13">
        <v>0.5625</v>
      </c>
      <c r="D14" s="15">
        <v>0.60416666666666663</v>
      </c>
      <c r="E14" s="15"/>
      <c r="F14" s="10">
        <f t="shared" si="1"/>
        <v>4.166666666666663E-2</v>
      </c>
      <c r="G14" s="139" t="s">
        <v>155</v>
      </c>
    </row>
    <row r="15" spans="1:9" ht="28.9" customHeight="1" x14ac:dyDescent="0.25">
      <c r="A15" s="6">
        <f t="shared" si="0"/>
        <v>14</v>
      </c>
      <c r="B15" s="12" t="s">
        <v>246</v>
      </c>
      <c r="C15" s="13">
        <v>0.60416666666666663</v>
      </c>
      <c r="D15" s="15">
        <v>0.66666666666666663</v>
      </c>
      <c r="E15" s="15"/>
      <c r="F15" s="10">
        <f t="shared" si="1"/>
        <v>6.25E-2</v>
      </c>
      <c r="G15" s="139" t="s">
        <v>155</v>
      </c>
    </row>
    <row r="16" spans="1:9" x14ac:dyDescent="0.25">
      <c r="A16" s="6">
        <f t="shared" si="0"/>
        <v>15</v>
      </c>
      <c r="B16" s="99" t="s">
        <v>247</v>
      </c>
      <c r="C16" s="13">
        <v>0.66666666666666663</v>
      </c>
      <c r="D16" s="15">
        <v>0.67708333333333337</v>
      </c>
      <c r="E16" s="15"/>
      <c r="F16" s="10">
        <f t="shared" si="1"/>
        <v>1.0416666666666741E-2</v>
      </c>
      <c r="G16" s="139" t="s">
        <v>155</v>
      </c>
    </row>
    <row r="17" spans="1:7" x14ac:dyDescent="0.25">
      <c r="A17" s="6">
        <f t="shared" si="0"/>
        <v>16</v>
      </c>
      <c r="B17" s="99" t="s">
        <v>141</v>
      </c>
      <c r="C17" s="13"/>
      <c r="D17" s="15"/>
      <c r="E17" s="15"/>
      <c r="F17" s="10">
        <v>2.0833333333333329E-2</v>
      </c>
      <c r="G17" s="139" t="s">
        <v>155</v>
      </c>
    </row>
    <row r="18" spans="1:7" x14ac:dyDescent="0.25">
      <c r="A18" s="6">
        <f t="shared" si="0"/>
        <v>17</v>
      </c>
      <c r="B18" s="99" t="s">
        <v>12</v>
      </c>
      <c r="C18" s="13"/>
      <c r="D18" s="15"/>
      <c r="E18" s="15"/>
      <c r="F18" s="10">
        <v>1.388888888888889E-2</v>
      </c>
      <c r="G18" s="139" t="s">
        <v>155</v>
      </c>
    </row>
    <row r="19" spans="1:7" x14ac:dyDescent="0.25">
      <c r="A19" s="6">
        <f t="shared" si="0"/>
        <v>18</v>
      </c>
      <c r="B19" s="99" t="s">
        <v>13</v>
      </c>
      <c r="C19" s="13"/>
      <c r="D19" s="15"/>
      <c r="E19" s="15"/>
      <c r="F19" s="10">
        <v>6.25E-2</v>
      </c>
      <c r="G19" s="139" t="s">
        <v>155</v>
      </c>
    </row>
    <row r="20" spans="1:7" x14ac:dyDescent="0.25">
      <c r="A20" s="6">
        <f t="shared" si="0"/>
        <v>19</v>
      </c>
      <c r="B20" s="99" t="s">
        <v>14</v>
      </c>
      <c r="C20" s="13"/>
      <c r="D20" s="15"/>
      <c r="E20" s="15"/>
      <c r="F20" s="10">
        <v>1.388888888888889E-2</v>
      </c>
      <c r="G20" s="139" t="s">
        <v>155</v>
      </c>
    </row>
    <row r="21" spans="1:7" ht="15" customHeight="1" thickBot="1" x14ac:dyDescent="0.3">
      <c r="A21" s="6">
        <f t="shared" si="0"/>
        <v>20</v>
      </c>
      <c r="B21" s="99" t="s">
        <v>15</v>
      </c>
      <c r="C21" s="16"/>
      <c r="D21" s="17"/>
      <c r="E21" s="15"/>
      <c r="F21" s="10">
        <v>1.041666666666667E-2</v>
      </c>
      <c r="G21" s="139" t="s">
        <v>155</v>
      </c>
    </row>
    <row r="22" spans="1:7" ht="15" customHeight="1" thickBot="1" x14ac:dyDescent="0.3">
      <c r="A22" s="18"/>
      <c r="B22" s="191" t="s">
        <v>16</v>
      </c>
      <c r="C22" s="192"/>
      <c r="D22" s="192"/>
      <c r="E22" s="193"/>
      <c r="F22" s="22">
        <f>SUM(F2:F21)</f>
        <v>0.37986111111111098</v>
      </c>
      <c r="G22" s="23"/>
    </row>
    <row r="27" spans="1:7" ht="15" customHeight="1" thickBot="1" x14ac:dyDescent="0.3"/>
    <row r="28" spans="1:7" ht="15" customHeight="1" thickBot="1" x14ac:dyDescent="0.3">
      <c r="A28" s="169" t="s">
        <v>0</v>
      </c>
      <c r="B28" s="170" t="s">
        <v>1</v>
      </c>
      <c r="C28" s="169" t="s">
        <v>33</v>
      </c>
      <c r="G28" s="74"/>
    </row>
    <row r="29" spans="1:7" x14ac:dyDescent="0.25">
      <c r="A29" s="172">
        <v>1</v>
      </c>
      <c r="B29" s="175" t="s">
        <v>237</v>
      </c>
      <c r="C29" s="178">
        <v>1.388888888888889E-2</v>
      </c>
      <c r="G29" s="74"/>
    </row>
    <row r="30" spans="1:7" x14ac:dyDescent="0.25">
      <c r="A30" s="172">
        <v>2</v>
      </c>
      <c r="B30" s="175" t="s">
        <v>226</v>
      </c>
      <c r="C30" s="178">
        <v>2.0833333333333329E-2</v>
      </c>
      <c r="G30" s="74"/>
    </row>
    <row r="31" spans="1:7" x14ac:dyDescent="0.25">
      <c r="A31" s="172">
        <v>3</v>
      </c>
      <c r="B31" s="175" t="s">
        <v>238</v>
      </c>
      <c r="C31" s="178">
        <v>1.388888888888889E-2</v>
      </c>
      <c r="G31" s="74"/>
    </row>
    <row r="32" spans="1:7" x14ac:dyDescent="0.25">
      <c r="A32" s="172">
        <v>4</v>
      </c>
      <c r="B32" s="175" t="s">
        <v>239</v>
      </c>
      <c r="C32" s="178">
        <v>6.9444444444444441E-3</v>
      </c>
      <c r="G32" s="74"/>
    </row>
    <row r="33" spans="1:7" x14ac:dyDescent="0.25">
      <c r="A33" s="172">
        <v>5</v>
      </c>
      <c r="B33" s="175" t="s">
        <v>240</v>
      </c>
      <c r="C33" s="178">
        <v>6.9444444444444441E-3</v>
      </c>
      <c r="G33" s="74"/>
    </row>
    <row r="34" spans="1:7" x14ac:dyDescent="0.25">
      <c r="A34" s="172">
        <v>6</v>
      </c>
      <c r="B34" s="175" t="s">
        <v>241</v>
      </c>
      <c r="C34" s="178">
        <v>6.9444444444444441E-3</v>
      </c>
      <c r="G34" s="74"/>
    </row>
    <row r="35" spans="1:7" x14ac:dyDescent="0.25">
      <c r="A35" s="172">
        <v>7</v>
      </c>
      <c r="B35" s="175" t="s">
        <v>242</v>
      </c>
      <c r="C35" s="178">
        <v>6.9444444444444441E-3</v>
      </c>
      <c r="G35" s="74"/>
    </row>
    <row r="36" spans="1:7" x14ac:dyDescent="0.25">
      <c r="A36" s="172">
        <v>8</v>
      </c>
      <c r="B36" s="175" t="s">
        <v>243</v>
      </c>
      <c r="C36" s="178">
        <v>6.9444444444444441E-3</v>
      </c>
      <c r="G36" s="74"/>
    </row>
    <row r="37" spans="1:7" x14ac:dyDescent="0.25">
      <c r="A37" s="172">
        <v>9</v>
      </c>
      <c r="B37" s="175" t="s">
        <v>143</v>
      </c>
      <c r="C37" s="178">
        <v>6.9444444444444441E-3</v>
      </c>
      <c r="G37" s="74"/>
    </row>
    <row r="38" spans="1:7" x14ac:dyDescent="0.25">
      <c r="A38" s="172">
        <v>10</v>
      </c>
      <c r="B38" s="175" t="s">
        <v>244</v>
      </c>
      <c r="C38" s="178">
        <v>2.013888888888889E-2</v>
      </c>
      <c r="G38" s="74"/>
    </row>
    <row r="39" spans="1:7" x14ac:dyDescent="0.25">
      <c r="A39" s="172">
        <v>11</v>
      </c>
      <c r="B39" s="175" t="s">
        <v>246</v>
      </c>
      <c r="C39" s="178">
        <v>6.25E-2</v>
      </c>
      <c r="G39" s="74"/>
    </row>
    <row r="40" spans="1:7" x14ac:dyDescent="0.25">
      <c r="A40" s="172">
        <v>12</v>
      </c>
      <c r="B40" s="175" t="s">
        <v>247</v>
      </c>
      <c r="C40" s="178">
        <v>1.041666666666667E-2</v>
      </c>
      <c r="G40" s="74"/>
    </row>
    <row r="41" spans="1:7" x14ac:dyDescent="0.25">
      <c r="A41" s="172">
        <v>13</v>
      </c>
      <c r="B41" s="175" t="s">
        <v>141</v>
      </c>
      <c r="C41" s="178">
        <v>2.0833333333333329E-2</v>
      </c>
      <c r="G41" s="74"/>
    </row>
    <row r="42" spans="1:7" x14ac:dyDescent="0.25">
      <c r="A42" s="172">
        <v>14</v>
      </c>
      <c r="B42" s="175" t="s">
        <v>12</v>
      </c>
      <c r="C42" s="178">
        <v>1.388888888888889E-2</v>
      </c>
      <c r="G42" s="74"/>
    </row>
    <row r="43" spans="1:7" x14ac:dyDescent="0.25">
      <c r="A43" s="172">
        <v>15</v>
      </c>
      <c r="B43" s="175" t="s">
        <v>13</v>
      </c>
      <c r="C43" s="178">
        <v>5.2083333333333343E-2</v>
      </c>
      <c r="G43" s="74"/>
    </row>
    <row r="44" spans="1:7" x14ac:dyDescent="0.25">
      <c r="A44" s="172">
        <v>16</v>
      </c>
      <c r="B44" s="175" t="s">
        <v>14</v>
      </c>
      <c r="C44" s="178">
        <v>1.388888888888889E-2</v>
      </c>
      <c r="G44" s="74"/>
    </row>
    <row r="45" spans="1:7" x14ac:dyDescent="0.25">
      <c r="A45" s="172">
        <v>17</v>
      </c>
      <c r="B45" s="175" t="s">
        <v>15</v>
      </c>
      <c r="C45" s="178">
        <v>1.041666666666667E-2</v>
      </c>
      <c r="G45" s="74"/>
    </row>
    <row r="46" spans="1:7" x14ac:dyDescent="0.25">
      <c r="C46" s="29">
        <f>SUM(C29:C45)</f>
        <v>0.29444444444444451</v>
      </c>
      <c r="G46" s="74"/>
    </row>
  </sheetData>
  <conditionalFormatting sqref="G2:G21">
    <cfRule type="expression" dxfId="11" priority="1">
      <formula>SEARCH("In-Progress", G2)</formula>
    </cfRule>
    <cfRule type="expression" dxfId="10" priority="2">
      <formula>SEARCH("Incomplete", G2)</formula>
    </cfRule>
    <cfRule type="expression" dxfId="9" priority="3">
      <formula>SEARCH("Completed", G2)</formula>
    </cfRule>
  </conditionalFormatting>
  <dataValidations count="1">
    <dataValidation type="list" allowBlank="1" showInputMessage="1" showErrorMessage="1" sqref="G2:G21" xr:uid="{00000000-0002-0000-0C00-000000000000}">
      <formula1>"Completed, Incomplete, In-Progress"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51"/>
  <sheetViews>
    <sheetView topLeftCell="A5" workbookViewId="0">
      <selection activeCell="G17" sqref="G17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>
        <v>0.375</v>
      </c>
      <c r="D2" s="9">
        <v>0.39166666666666672</v>
      </c>
      <c r="E2" s="9">
        <v>1.388888888888889E-2</v>
      </c>
      <c r="F2" s="10">
        <f t="shared" ref="F2:F15" si="1">D2-C2</f>
        <v>1.6666666666666718E-2</v>
      </c>
      <c r="G2" s="11"/>
      <c r="I2" s="39" t="s">
        <v>8</v>
      </c>
    </row>
    <row r="3" spans="1:9" x14ac:dyDescent="0.25">
      <c r="A3" s="6">
        <f t="shared" si="0"/>
        <v>2</v>
      </c>
      <c r="B3" s="12" t="s">
        <v>9</v>
      </c>
      <c r="C3" s="13">
        <v>0.39166666666666672</v>
      </c>
      <c r="D3" s="10">
        <v>0.41319444444444442</v>
      </c>
      <c r="E3" s="10">
        <v>1.7361111111111108E-2</v>
      </c>
      <c r="F3" s="10">
        <f t="shared" si="1"/>
        <v>2.1527777777777701E-2</v>
      </c>
      <c r="G3" s="11"/>
    </row>
    <row r="4" spans="1:9" x14ac:dyDescent="0.25">
      <c r="A4" s="6">
        <f t="shared" si="0"/>
        <v>3</v>
      </c>
      <c r="B4" s="14" t="s">
        <v>10</v>
      </c>
      <c r="C4" s="13">
        <v>0.41319444444444442</v>
      </c>
      <c r="D4" s="10">
        <v>0.4201388888888889</v>
      </c>
      <c r="E4" s="10">
        <v>6.9444444444444441E-3</v>
      </c>
      <c r="F4" s="10">
        <f t="shared" si="1"/>
        <v>6.9444444444444753E-3</v>
      </c>
      <c r="G4" s="11"/>
    </row>
    <row r="5" spans="1:9" ht="30" customHeight="1" x14ac:dyDescent="0.25">
      <c r="A5" s="6">
        <f t="shared" si="0"/>
        <v>4</v>
      </c>
      <c r="B5" s="12" t="s">
        <v>243</v>
      </c>
      <c r="C5" s="13">
        <v>0.4201388888888889</v>
      </c>
      <c r="D5" s="10">
        <v>0.4375</v>
      </c>
      <c r="E5" s="10">
        <v>4.1666666666666657E-2</v>
      </c>
      <c r="F5" s="10">
        <f t="shared" si="1"/>
        <v>1.7361111111111105E-2</v>
      </c>
      <c r="G5" s="11"/>
    </row>
    <row r="6" spans="1:9" x14ac:dyDescent="0.25">
      <c r="A6" s="6">
        <f t="shared" si="0"/>
        <v>5</v>
      </c>
      <c r="B6" s="97" t="s">
        <v>216</v>
      </c>
      <c r="C6" s="13">
        <v>0.4375</v>
      </c>
      <c r="D6" s="10">
        <v>0.4513888888888889</v>
      </c>
      <c r="E6" s="10"/>
      <c r="F6" s="10">
        <f t="shared" si="1"/>
        <v>1.3888888888888895E-2</v>
      </c>
      <c r="G6" s="11"/>
    </row>
    <row r="7" spans="1:9" x14ac:dyDescent="0.25">
      <c r="A7" s="6">
        <f t="shared" si="0"/>
        <v>6</v>
      </c>
      <c r="B7" s="12" t="s">
        <v>143</v>
      </c>
      <c r="C7" s="13">
        <v>0.4513888888888889</v>
      </c>
      <c r="D7" s="10">
        <v>0.4548611111111111</v>
      </c>
      <c r="E7" s="10"/>
      <c r="F7" s="10">
        <f t="shared" si="1"/>
        <v>3.4722222222222099E-3</v>
      </c>
      <c r="G7" s="11"/>
    </row>
    <row r="8" spans="1:9" x14ac:dyDescent="0.25">
      <c r="A8" s="6">
        <f t="shared" si="0"/>
        <v>7</v>
      </c>
      <c r="B8" s="12" t="s">
        <v>248</v>
      </c>
      <c r="C8" s="13"/>
      <c r="D8" s="10"/>
      <c r="E8" s="10"/>
      <c r="F8" s="13">
        <f t="shared" si="1"/>
        <v>0</v>
      </c>
      <c r="G8" s="11"/>
    </row>
    <row r="9" spans="1:9" x14ac:dyDescent="0.25">
      <c r="A9" s="6">
        <f t="shared" si="0"/>
        <v>8</v>
      </c>
      <c r="B9" s="12" t="s">
        <v>220</v>
      </c>
      <c r="C9" s="13">
        <v>0.51041666666666663</v>
      </c>
      <c r="D9" s="10">
        <v>0.53611111111111109</v>
      </c>
      <c r="E9" s="10"/>
      <c r="F9" s="10">
        <f t="shared" si="1"/>
        <v>2.5694444444444464E-2</v>
      </c>
      <c r="G9" s="11"/>
    </row>
    <row r="10" spans="1:9" ht="28.9" customHeight="1" x14ac:dyDescent="0.25">
      <c r="A10" s="6">
        <f t="shared" si="0"/>
        <v>9</v>
      </c>
      <c r="B10" s="12" t="s">
        <v>249</v>
      </c>
      <c r="C10" s="13">
        <v>0.53819444444444442</v>
      </c>
      <c r="D10" s="10">
        <v>0.57291666666666663</v>
      </c>
      <c r="E10" s="10"/>
      <c r="F10" s="10">
        <f t="shared" si="1"/>
        <v>3.472222222222221E-2</v>
      </c>
      <c r="G10" s="11"/>
    </row>
    <row r="11" spans="1:9" ht="28.9" customHeight="1" x14ac:dyDescent="0.25">
      <c r="A11" s="6">
        <f t="shared" si="0"/>
        <v>10</v>
      </c>
      <c r="B11" s="12" t="s">
        <v>250</v>
      </c>
      <c r="C11" s="13">
        <v>0.46319444444444452</v>
      </c>
      <c r="D11" s="15">
        <v>0.47569444444444442</v>
      </c>
      <c r="E11" s="15"/>
      <c r="F11" s="10">
        <f t="shared" si="1"/>
        <v>1.24999999999999E-2</v>
      </c>
      <c r="G11" s="11"/>
    </row>
    <row r="12" spans="1:9" x14ac:dyDescent="0.25">
      <c r="A12" s="6">
        <f t="shared" si="0"/>
        <v>11</v>
      </c>
      <c r="B12" s="12" t="s">
        <v>251</v>
      </c>
      <c r="C12" s="13">
        <v>0.125</v>
      </c>
      <c r="D12" s="15">
        <v>0.15277777777777779</v>
      </c>
      <c r="E12" s="15"/>
      <c r="F12" s="10">
        <f t="shared" si="1"/>
        <v>2.777777777777779E-2</v>
      </c>
      <c r="G12" s="11"/>
    </row>
    <row r="13" spans="1:9" x14ac:dyDescent="0.25">
      <c r="A13" s="6">
        <f t="shared" si="0"/>
        <v>12</v>
      </c>
      <c r="B13" s="12" t="s">
        <v>252</v>
      </c>
      <c r="C13" s="13">
        <v>0.16666666666666671</v>
      </c>
      <c r="D13" s="15">
        <v>0.18055555555555561</v>
      </c>
      <c r="E13" s="15"/>
      <c r="F13" s="10">
        <f t="shared" si="1"/>
        <v>1.3888888888888895E-2</v>
      </c>
      <c r="G13" s="11"/>
    </row>
    <row r="14" spans="1:9" x14ac:dyDescent="0.25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2" t="s">
        <v>253</v>
      </c>
      <c r="C16" s="13"/>
      <c r="D16" s="15"/>
      <c r="E16" s="15"/>
      <c r="F16" s="10">
        <v>6.9444444444444441E-3</v>
      </c>
      <c r="G16" s="11"/>
    </row>
    <row r="17" spans="1:7" x14ac:dyDescent="0.25">
      <c r="A17" s="6">
        <f t="shared" si="0"/>
        <v>16</v>
      </c>
      <c r="B17" s="12" t="s">
        <v>141</v>
      </c>
      <c r="C17" s="13">
        <v>0.18055555555555561</v>
      </c>
      <c r="D17" s="15">
        <v>0.2013888888888889</v>
      </c>
      <c r="E17" s="15"/>
      <c r="F17" s="10">
        <v>2.0833333333333329E-2</v>
      </c>
      <c r="G17" s="11"/>
    </row>
    <row r="18" spans="1:7" x14ac:dyDescent="0.25">
      <c r="A18" s="6">
        <f t="shared" si="0"/>
        <v>17</v>
      </c>
      <c r="B18" s="12" t="s">
        <v>12</v>
      </c>
      <c r="C18" s="13">
        <v>0.2013888888888889</v>
      </c>
      <c r="D18" s="15"/>
      <c r="E18" s="15"/>
      <c r="F18" s="10">
        <v>1.388888888888889E-2</v>
      </c>
      <c r="G18" s="11"/>
    </row>
    <row r="19" spans="1:7" x14ac:dyDescent="0.25">
      <c r="A19" s="6">
        <f t="shared" si="0"/>
        <v>18</v>
      </c>
      <c r="B19" s="12" t="s">
        <v>13</v>
      </c>
      <c r="C19" s="13"/>
      <c r="D19" s="15"/>
      <c r="E19" s="15"/>
      <c r="F19" s="10">
        <v>6.25E-2</v>
      </c>
      <c r="G19" s="11"/>
    </row>
    <row r="20" spans="1:7" x14ac:dyDescent="0.25">
      <c r="A20" s="6">
        <f t="shared" si="0"/>
        <v>19</v>
      </c>
      <c r="B20" s="12" t="s">
        <v>14</v>
      </c>
      <c r="C20" s="13"/>
      <c r="D20" s="15"/>
      <c r="E20" s="15"/>
      <c r="F20" s="10">
        <v>1.388888888888889E-2</v>
      </c>
      <c r="G20" s="11"/>
    </row>
    <row r="21" spans="1:7" ht="15" customHeight="1" thickBot="1" x14ac:dyDescent="0.3">
      <c r="A21" s="6">
        <f t="shared" si="0"/>
        <v>20</v>
      </c>
      <c r="B21" s="12" t="s">
        <v>15</v>
      </c>
      <c r="C21" s="16"/>
      <c r="D21" s="17"/>
      <c r="E21" s="15"/>
      <c r="F21" s="10">
        <v>1.041666666666667E-2</v>
      </c>
      <c r="G21" s="11"/>
    </row>
    <row r="22" spans="1:7" ht="15" customHeight="1" thickBot="1" x14ac:dyDescent="0.3">
      <c r="A22" s="18"/>
      <c r="B22" s="19" t="s">
        <v>16</v>
      </c>
      <c r="C22" s="20"/>
      <c r="D22" s="20"/>
      <c r="E22" s="21"/>
      <c r="F22" s="22">
        <f>SUM(F2:F21)</f>
        <v>0.32291666666666663</v>
      </c>
      <c r="G22" s="23"/>
    </row>
    <row r="34" spans="1:7" ht="15.75" customHeight="1" thickBot="1" x14ac:dyDescent="0.3"/>
    <row r="35" spans="1:7" ht="15.75" customHeight="1" thickBot="1" x14ac:dyDescent="0.3">
      <c r="A35" s="169" t="s">
        <v>254</v>
      </c>
      <c r="B35" s="170" t="s">
        <v>1</v>
      </c>
      <c r="C35" s="169" t="s">
        <v>33</v>
      </c>
    </row>
    <row r="36" spans="1:7" x14ac:dyDescent="0.25">
      <c r="A36" s="171">
        <v>1</v>
      </c>
      <c r="B36" s="174" t="s">
        <v>7</v>
      </c>
      <c r="C36" s="177">
        <v>1.666666666666667E-2</v>
      </c>
      <c r="G36" s="74"/>
    </row>
    <row r="37" spans="1:7" x14ac:dyDescent="0.25">
      <c r="A37" s="172">
        <v>2</v>
      </c>
      <c r="B37" s="175" t="s">
        <v>9</v>
      </c>
      <c r="C37" s="178">
        <v>2.1527777777777781E-2</v>
      </c>
      <c r="G37" s="74"/>
    </row>
    <row r="38" spans="1:7" x14ac:dyDescent="0.25">
      <c r="A38" s="172">
        <v>3</v>
      </c>
      <c r="B38" s="175" t="s">
        <v>10</v>
      </c>
      <c r="C38" s="178">
        <v>6.9444444444444441E-3</v>
      </c>
      <c r="G38" s="74"/>
    </row>
    <row r="39" spans="1:7" x14ac:dyDescent="0.25">
      <c r="A39" s="172">
        <v>4</v>
      </c>
      <c r="B39" s="175" t="s">
        <v>243</v>
      </c>
      <c r="C39" s="178">
        <v>1.7361111111111108E-2</v>
      </c>
      <c r="G39" s="74"/>
    </row>
    <row r="40" spans="1:7" x14ac:dyDescent="0.25">
      <c r="A40" s="172">
        <v>5</v>
      </c>
      <c r="B40" s="175" t="s">
        <v>216</v>
      </c>
      <c r="C40" s="178">
        <v>1.388888888888889E-2</v>
      </c>
      <c r="G40" s="74"/>
    </row>
    <row r="41" spans="1:7" x14ac:dyDescent="0.25">
      <c r="A41" s="172">
        <v>6</v>
      </c>
      <c r="B41" s="175" t="s">
        <v>143</v>
      </c>
      <c r="C41" s="178">
        <v>3.472222222222222E-3</v>
      </c>
      <c r="G41" s="74"/>
    </row>
    <row r="42" spans="1:7" x14ac:dyDescent="0.25">
      <c r="A42" s="172">
        <v>7</v>
      </c>
      <c r="B42" s="175" t="s">
        <v>220</v>
      </c>
      <c r="C42" s="178">
        <v>2.569444444444444E-2</v>
      </c>
      <c r="G42" s="74"/>
    </row>
    <row r="43" spans="1:7" x14ac:dyDescent="0.25">
      <c r="A43" s="172">
        <v>8</v>
      </c>
      <c r="B43" s="175" t="s">
        <v>255</v>
      </c>
      <c r="C43" s="178">
        <v>3.4722222222222217E-2</v>
      </c>
      <c r="G43" s="74"/>
    </row>
    <row r="44" spans="1:7" x14ac:dyDescent="0.25">
      <c r="A44" s="172">
        <v>9</v>
      </c>
      <c r="B44" s="175" t="s">
        <v>256</v>
      </c>
      <c r="C44" s="178">
        <v>1.2500000000000001E-2</v>
      </c>
      <c r="G44" s="74"/>
    </row>
    <row r="45" spans="1:7" x14ac:dyDescent="0.25">
      <c r="A45" s="172">
        <v>10</v>
      </c>
      <c r="B45" s="175" t="s">
        <v>251</v>
      </c>
      <c r="C45" s="178">
        <v>2.777777777777778E-2</v>
      </c>
      <c r="G45" s="74"/>
    </row>
    <row r="46" spans="1:7" x14ac:dyDescent="0.25">
      <c r="A46" s="172">
        <v>11</v>
      </c>
      <c r="B46" s="175" t="s">
        <v>252</v>
      </c>
      <c r="C46" s="178">
        <v>1.388888888888889E-2</v>
      </c>
      <c r="G46" s="74"/>
    </row>
    <row r="47" spans="1:7" x14ac:dyDescent="0.25">
      <c r="A47" s="172">
        <v>12</v>
      </c>
      <c r="B47" s="175" t="s">
        <v>12</v>
      </c>
      <c r="C47" s="178">
        <v>1.388888888888889E-2</v>
      </c>
      <c r="G47" s="74"/>
    </row>
    <row r="48" spans="1:7" x14ac:dyDescent="0.25">
      <c r="A48" s="172">
        <v>13</v>
      </c>
      <c r="B48" s="175" t="s">
        <v>13</v>
      </c>
      <c r="C48" s="178">
        <v>6.25E-2</v>
      </c>
      <c r="G48" s="74"/>
    </row>
    <row r="49" spans="1:7" x14ac:dyDescent="0.25">
      <c r="A49" s="172">
        <v>14</v>
      </c>
      <c r="B49" s="175" t="s">
        <v>14</v>
      </c>
      <c r="C49" s="178">
        <v>1.388888888888889E-2</v>
      </c>
      <c r="G49" s="74"/>
    </row>
    <row r="50" spans="1:7" ht="15.75" customHeight="1" thickBot="1" x14ac:dyDescent="0.3">
      <c r="A50" s="173">
        <v>15</v>
      </c>
      <c r="B50" s="176" t="s">
        <v>15</v>
      </c>
      <c r="C50" s="179">
        <v>1.041666666666667E-2</v>
      </c>
      <c r="G50" s="74"/>
    </row>
    <row r="51" spans="1:7" ht="15.75" customHeight="1" thickBot="1" x14ac:dyDescent="0.3">
      <c r="A51" s="199"/>
      <c r="B51" s="201"/>
      <c r="C51" s="200">
        <v>0.32291666666666669</v>
      </c>
      <c r="G51" s="7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7"/>
  <sheetViews>
    <sheetView workbookViewId="0">
      <selection activeCell="G12" sqref="G12"/>
    </sheetView>
  </sheetViews>
  <sheetFormatPr defaultRowHeight="15" x14ac:dyDescent="0.25"/>
  <cols>
    <col min="1" max="1" width="6.85546875" bestFit="1" customWidth="1"/>
    <col min="2" max="2" width="61.140625" bestFit="1" customWidth="1"/>
    <col min="3" max="3" width="10" bestFit="1" customWidth="1"/>
    <col min="4" max="4" width="9.140625" bestFit="1" customWidth="1"/>
    <col min="5" max="5" width="13.28515625" bestFit="1" customWidth="1"/>
    <col min="6" max="6" width="11.42578125" bestFit="1" customWidth="1"/>
    <col min="7" max="7" width="6.85546875" bestFit="1" customWidth="1"/>
    <col min="8" max="8" width="9.140625" customWidth="1"/>
    <col min="9" max="9" width="60" bestFit="1" customWidth="1"/>
    <col min="10" max="10" width="9.140625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2" si="0">ROW() - ROW($A$1)</f>
        <v>1</v>
      </c>
      <c r="B2" s="189" t="s">
        <v>7</v>
      </c>
      <c r="C2" s="8">
        <v>0.34791666666666671</v>
      </c>
      <c r="D2" s="9">
        <v>0.36041666666666672</v>
      </c>
      <c r="E2" s="9">
        <v>1.388888888888889E-2</v>
      </c>
      <c r="F2" s="10">
        <f t="shared" ref="F2:F21" si="1">D2-C2</f>
        <v>1.2500000000000011E-2</v>
      </c>
      <c r="G2" s="11"/>
      <c r="I2" s="39" t="s">
        <v>8</v>
      </c>
    </row>
    <row r="3" spans="1:9" x14ac:dyDescent="0.25">
      <c r="A3" s="6">
        <f t="shared" si="0"/>
        <v>2</v>
      </c>
      <c r="B3" s="190" t="s">
        <v>10</v>
      </c>
      <c r="C3" s="13">
        <v>0.36041666666666672</v>
      </c>
      <c r="D3" s="10">
        <v>0.36736111111111108</v>
      </c>
      <c r="E3" s="10">
        <v>1.7361111111111108E-2</v>
      </c>
      <c r="F3" s="10">
        <f t="shared" si="1"/>
        <v>6.9444444444443643E-3</v>
      </c>
      <c r="G3" s="11"/>
    </row>
    <row r="4" spans="1:9" x14ac:dyDescent="0.25">
      <c r="A4" s="6">
        <f t="shared" si="0"/>
        <v>3</v>
      </c>
      <c r="B4" s="99" t="s">
        <v>9</v>
      </c>
      <c r="C4" s="13">
        <v>0.36736111111111108</v>
      </c>
      <c r="D4" s="10">
        <v>0.3923611111111111</v>
      </c>
      <c r="E4" s="10">
        <v>6.9444444444444441E-3</v>
      </c>
      <c r="F4" s="10">
        <f t="shared" si="1"/>
        <v>2.5000000000000022E-2</v>
      </c>
      <c r="G4" s="11"/>
    </row>
    <row r="5" spans="1:9" x14ac:dyDescent="0.25">
      <c r="A5" s="6">
        <f t="shared" si="0"/>
        <v>4</v>
      </c>
      <c r="B5" s="99" t="s">
        <v>257</v>
      </c>
      <c r="C5" s="13">
        <v>0.3923611111111111</v>
      </c>
      <c r="D5" s="10">
        <v>0.40625</v>
      </c>
      <c r="E5" s="10">
        <v>4.1666666666666657E-2</v>
      </c>
      <c r="F5" s="10">
        <f t="shared" si="1"/>
        <v>1.3888888888888895E-2</v>
      </c>
      <c r="G5" s="11"/>
    </row>
    <row r="6" spans="1:9" x14ac:dyDescent="0.25">
      <c r="A6" s="6">
        <f t="shared" si="0"/>
        <v>5</v>
      </c>
      <c r="B6" s="230" t="s">
        <v>258</v>
      </c>
      <c r="C6" s="13">
        <v>0.40625</v>
      </c>
      <c r="D6" s="10">
        <v>0.40972222222222221</v>
      </c>
      <c r="E6" s="10"/>
      <c r="F6" s="10">
        <f t="shared" si="1"/>
        <v>3.4722222222222099E-3</v>
      </c>
      <c r="G6" s="11"/>
    </row>
    <row r="7" spans="1:9" x14ac:dyDescent="0.25">
      <c r="A7" s="6">
        <f t="shared" si="0"/>
        <v>6</v>
      </c>
      <c r="B7" s="99" t="s">
        <v>259</v>
      </c>
      <c r="C7" s="13">
        <v>0.40972222222222221</v>
      </c>
      <c r="D7" s="10">
        <v>0.4236111111111111</v>
      </c>
      <c r="E7" s="10"/>
      <c r="F7" s="10">
        <f t="shared" si="1"/>
        <v>1.3888888888888895E-2</v>
      </c>
      <c r="G7" s="11"/>
    </row>
    <row r="8" spans="1:9" x14ac:dyDescent="0.25">
      <c r="A8" s="6">
        <f t="shared" si="0"/>
        <v>7</v>
      </c>
      <c r="B8" s="230" t="s">
        <v>260</v>
      </c>
      <c r="C8" s="13">
        <v>0.4236111111111111</v>
      </c>
      <c r="D8" s="10">
        <v>0.43402777777777779</v>
      </c>
      <c r="E8" s="10"/>
      <c r="F8" s="13">
        <f t="shared" si="1"/>
        <v>1.0416666666666685E-2</v>
      </c>
      <c r="G8" s="11"/>
    </row>
    <row r="9" spans="1:9" x14ac:dyDescent="0.25">
      <c r="A9" s="6">
        <f t="shared" si="0"/>
        <v>8</v>
      </c>
      <c r="B9" s="99" t="s">
        <v>143</v>
      </c>
      <c r="C9" s="13">
        <v>0.43402777777777779</v>
      </c>
      <c r="D9" s="10">
        <v>0.43888888888888888</v>
      </c>
      <c r="E9" s="10"/>
      <c r="F9" s="10">
        <f t="shared" si="1"/>
        <v>4.8611111111110938E-3</v>
      </c>
      <c r="G9" s="11"/>
    </row>
    <row r="10" spans="1:9" x14ac:dyDescent="0.25">
      <c r="A10" s="6">
        <f t="shared" si="0"/>
        <v>9</v>
      </c>
      <c r="B10" s="99" t="s">
        <v>261</v>
      </c>
      <c r="C10" s="13">
        <v>0.43888888888888888</v>
      </c>
      <c r="D10" s="10">
        <v>0.44583333333333341</v>
      </c>
      <c r="E10" s="10"/>
      <c r="F10" s="10">
        <f t="shared" si="1"/>
        <v>6.9444444444445308E-3</v>
      </c>
      <c r="G10" s="11"/>
    </row>
    <row r="11" spans="1:9" x14ac:dyDescent="0.25">
      <c r="A11" s="6">
        <f t="shared" si="0"/>
        <v>10</v>
      </c>
      <c r="B11" s="99" t="s">
        <v>262</v>
      </c>
      <c r="C11" s="13">
        <v>0.44583333333333341</v>
      </c>
      <c r="D11" s="10">
        <v>0.45833333333333331</v>
      </c>
      <c r="E11" s="15"/>
      <c r="F11" s="10">
        <f t="shared" si="1"/>
        <v>1.24999999999999E-2</v>
      </c>
      <c r="G11" s="11"/>
    </row>
    <row r="12" spans="1:9" x14ac:dyDescent="0.25">
      <c r="A12" s="6">
        <f t="shared" si="0"/>
        <v>11</v>
      </c>
      <c r="B12" s="99" t="s">
        <v>263</v>
      </c>
      <c r="C12" s="13">
        <v>0.45833333333333331</v>
      </c>
      <c r="D12" s="15">
        <v>0.49652777777777779</v>
      </c>
      <c r="E12" s="15"/>
      <c r="F12" s="10">
        <f t="shared" si="1"/>
        <v>3.8194444444444475E-2</v>
      </c>
      <c r="G12" s="11"/>
    </row>
    <row r="13" spans="1:9" x14ac:dyDescent="0.25">
      <c r="A13" s="6">
        <f t="shared" si="0"/>
        <v>12</v>
      </c>
      <c r="B13" s="99" t="s">
        <v>264</v>
      </c>
      <c r="C13" s="13">
        <v>0.49652777777777779</v>
      </c>
      <c r="D13" s="15">
        <v>0.50972222222222219</v>
      </c>
      <c r="E13" s="15"/>
      <c r="F13" s="10">
        <f t="shared" si="1"/>
        <v>1.3194444444444398E-2</v>
      </c>
      <c r="G13" s="11"/>
    </row>
    <row r="14" spans="1:9" x14ac:dyDescent="0.25">
      <c r="A14" s="6">
        <f t="shared" si="0"/>
        <v>13</v>
      </c>
      <c r="B14" s="99" t="s">
        <v>265</v>
      </c>
      <c r="C14" s="13">
        <v>0.50972222222222219</v>
      </c>
      <c r="D14" s="15">
        <v>0.52361111111111114</v>
      </c>
      <c r="E14" s="15"/>
      <c r="F14" s="10">
        <f t="shared" si="1"/>
        <v>1.3888888888888951E-2</v>
      </c>
      <c r="G14" s="11"/>
    </row>
    <row r="15" spans="1:9" x14ac:dyDescent="0.25">
      <c r="A15" s="6">
        <f t="shared" si="0"/>
        <v>14</v>
      </c>
      <c r="B15" s="99" t="s">
        <v>266</v>
      </c>
      <c r="C15" s="13">
        <v>0.52361111111111114</v>
      </c>
      <c r="D15" s="15">
        <v>0.72916666666666663</v>
      </c>
      <c r="E15" s="15"/>
      <c r="F15" s="10">
        <f t="shared" si="1"/>
        <v>0.20555555555555549</v>
      </c>
      <c r="G15" s="11"/>
    </row>
    <row r="16" spans="1:9" x14ac:dyDescent="0.25">
      <c r="A16" s="6">
        <f t="shared" si="0"/>
        <v>15</v>
      </c>
      <c r="B16" s="99" t="s">
        <v>267</v>
      </c>
      <c r="C16" s="13">
        <v>0.76736111111111116</v>
      </c>
      <c r="D16" s="15">
        <v>0.78472222222222221</v>
      </c>
      <c r="E16" s="15"/>
      <c r="F16" s="10">
        <f t="shared" si="1"/>
        <v>1.7361111111111049E-2</v>
      </c>
      <c r="G16" s="11"/>
    </row>
    <row r="17" spans="1:7" x14ac:dyDescent="0.25">
      <c r="A17" s="6">
        <f t="shared" si="0"/>
        <v>16</v>
      </c>
      <c r="B17" s="99" t="s">
        <v>268</v>
      </c>
      <c r="C17" s="13">
        <v>0.78472222222222221</v>
      </c>
      <c r="D17" s="15">
        <v>0.80902777777777779</v>
      </c>
      <c r="E17" s="15"/>
      <c r="F17" s="10">
        <f t="shared" si="1"/>
        <v>2.430555555555558E-2</v>
      </c>
      <c r="G17" s="11"/>
    </row>
    <row r="18" spans="1:7" x14ac:dyDescent="0.25">
      <c r="A18" s="6">
        <f t="shared" si="0"/>
        <v>17</v>
      </c>
      <c r="B18" s="99" t="s">
        <v>12</v>
      </c>
      <c r="C18" s="13">
        <v>0.80902777777777779</v>
      </c>
      <c r="D18" s="15">
        <v>0.82291666666666663</v>
      </c>
      <c r="E18" s="15">
        <v>1.388888888888889E-2</v>
      </c>
      <c r="F18" s="10">
        <f t="shared" si="1"/>
        <v>1.388888888888884E-2</v>
      </c>
      <c r="G18" s="11"/>
    </row>
    <row r="19" spans="1:7" x14ac:dyDescent="0.25">
      <c r="A19" s="6">
        <f t="shared" si="0"/>
        <v>18</v>
      </c>
      <c r="B19" s="99" t="s">
        <v>13</v>
      </c>
      <c r="C19" s="13">
        <v>0.82291666666666663</v>
      </c>
      <c r="D19" s="15">
        <v>0.86458333333333337</v>
      </c>
      <c r="E19" s="15">
        <v>6.25E-2</v>
      </c>
      <c r="F19" s="10">
        <f t="shared" si="1"/>
        <v>4.1666666666666741E-2</v>
      </c>
      <c r="G19" s="11"/>
    </row>
    <row r="20" spans="1:7" x14ac:dyDescent="0.25">
      <c r="A20" s="6">
        <f t="shared" si="0"/>
        <v>19</v>
      </c>
      <c r="B20" s="230" t="s">
        <v>269</v>
      </c>
      <c r="C20" s="13">
        <v>0.86458333333333337</v>
      </c>
      <c r="D20" s="15">
        <v>0.87847222222222221</v>
      </c>
      <c r="E20" s="15">
        <v>1.388888888888889E-2</v>
      </c>
      <c r="F20" s="10">
        <f t="shared" si="1"/>
        <v>1.388888888888884E-2</v>
      </c>
      <c r="G20" s="11"/>
    </row>
    <row r="21" spans="1:7" x14ac:dyDescent="0.25">
      <c r="A21" s="6">
        <f t="shared" si="0"/>
        <v>20</v>
      </c>
      <c r="B21" s="99" t="s">
        <v>270</v>
      </c>
      <c r="C21" s="13">
        <v>0.87847222222222221</v>
      </c>
      <c r="D21" s="15">
        <v>0.88888888888888884</v>
      </c>
      <c r="E21" s="15">
        <v>1.041666666666667E-2</v>
      </c>
      <c r="F21" s="10">
        <f t="shared" si="1"/>
        <v>1.041666666666663E-2</v>
      </c>
      <c r="G21" s="11"/>
    </row>
    <row r="22" spans="1:7" ht="15" customHeight="1" thickBot="1" x14ac:dyDescent="0.3">
      <c r="A22" s="6">
        <f t="shared" si="0"/>
        <v>21</v>
      </c>
      <c r="B22" s="230"/>
      <c r="C22" s="16"/>
      <c r="D22" s="17"/>
      <c r="E22" s="15"/>
      <c r="F22" s="10"/>
      <c r="G22" s="11"/>
    </row>
    <row r="23" spans="1:7" ht="15" customHeight="1" thickBot="1" x14ac:dyDescent="0.3">
      <c r="A23" s="18"/>
      <c r="B23" s="191" t="s">
        <v>16</v>
      </c>
      <c r="C23" s="192"/>
      <c r="D23" s="192"/>
      <c r="E23" s="193"/>
      <c r="F23" s="22">
        <f>SUM(F2:F22)</f>
        <v>0.50277777777777755</v>
      </c>
      <c r="G23" s="23"/>
    </row>
    <row r="25" spans="1:7" ht="15.75" customHeight="1" thickBot="1" x14ac:dyDescent="0.3"/>
    <row r="26" spans="1:7" ht="15.75" customHeight="1" thickBot="1" x14ac:dyDescent="0.3">
      <c r="A26" s="169" t="s">
        <v>0</v>
      </c>
      <c r="B26" s="170" t="s">
        <v>1</v>
      </c>
      <c r="C26" s="169" t="s">
        <v>33</v>
      </c>
    </row>
    <row r="27" spans="1:7" x14ac:dyDescent="0.25">
      <c r="A27" s="172">
        <v>1</v>
      </c>
      <c r="B27" s="175" t="s">
        <v>7</v>
      </c>
      <c r="C27" s="178">
        <v>1.041666666666667E-2</v>
      </c>
      <c r="G27" s="74"/>
    </row>
    <row r="28" spans="1:7" x14ac:dyDescent="0.25">
      <c r="A28" s="172">
        <v>2</v>
      </c>
      <c r="B28" s="175" t="s">
        <v>10</v>
      </c>
      <c r="C28" s="178">
        <v>6.9444444444444441E-3</v>
      </c>
      <c r="G28" s="74"/>
    </row>
    <row r="29" spans="1:7" x14ac:dyDescent="0.25">
      <c r="A29" s="172">
        <v>3</v>
      </c>
      <c r="B29" s="175" t="s">
        <v>9</v>
      </c>
      <c r="C29" s="178">
        <v>2.0833333333333329E-2</v>
      </c>
      <c r="G29" s="74"/>
    </row>
    <row r="30" spans="1:7" x14ac:dyDescent="0.25">
      <c r="A30" s="172">
        <v>4</v>
      </c>
      <c r="B30" s="175" t="s">
        <v>257</v>
      </c>
      <c r="C30" s="178">
        <v>1.388888888888889E-2</v>
      </c>
      <c r="G30" s="74"/>
    </row>
    <row r="31" spans="1:7" x14ac:dyDescent="0.25">
      <c r="A31" s="172">
        <v>5</v>
      </c>
      <c r="B31" s="175" t="s">
        <v>258</v>
      </c>
      <c r="C31" s="178">
        <v>3.472222222222222E-3</v>
      </c>
      <c r="G31" s="74"/>
    </row>
    <row r="32" spans="1:7" x14ac:dyDescent="0.25">
      <c r="A32" s="172">
        <v>6</v>
      </c>
      <c r="B32" s="175" t="s">
        <v>259</v>
      </c>
      <c r="C32" s="178">
        <v>1.041666666666667E-2</v>
      </c>
      <c r="G32" s="74"/>
    </row>
    <row r="33" spans="1:7" x14ac:dyDescent="0.25">
      <c r="A33" s="172">
        <v>7</v>
      </c>
      <c r="B33" s="175" t="s">
        <v>260</v>
      </c>
      <c r="C33" s="178">
        <v>1.041666666666667E-2</v>
      </c>
      <c r="G33" s="74"/>
    </row>
    <row r="34" spans="1:7" x14ac:dyDescent="0.25">
      <c r="A34" s="172">
        <v>8</v>
      </c>
      <c r="B34" s="175" t="s">
        <v>143</v>
      </c>
      <c r="C34" s="178">
        <v>3.472222222222222E-3</v>
      </c>
      <c r="G34" s="74"/>
    </row>
    <row r="35" spans="1:7" x14ac:dyDescent="0.25">
      <c r="A35" s="172">
        <v>9</v>
      </c>
      <c r="B35" s="175" t="s">
        <v>261</v>
      </c>
      <c r="C35" s="178">
        <v>6.9444444444444441E-3</v>
      </c>
      <c r="G35" s="74"/>
    </row>
    <row r="36" spans="1:7" x14ac:dyDescent="0.25">
      <c r="A36" s="172">
        <v>10</v>
      </c>
      <c r="B36" s="175" t="s">
        <v>262</v>
      </c>
      <c r="C36" s="178">
        <v>6.9444444444444441E-3</v>
      </c>
      <c r="G36" s="74"/>
    </row>
    <row r="37" spans="1:7" x14ac:dyDescent="0.25">
      <c r="A37" s="172">
        <v>11</v>
      </c>
      <c r="B37" s="175" t="s">
        <v>263</v>
      </c>
      <c r="C37" s="178">
        <v>2.0833333333333329E-2</v>
      </c>
      <c r="G37" s="74"/>
    </row>
    <row r="38" spans="1:7" x14ac:dyDescent="0.25">
      <c r="A38" s="172">
        <v>12</v>
      </c>
      <c r="B38" s="175" t="s">
        <v>264</v>
      </c>
      <c r="C38" s="178">
        <v>6.9444444444444441E-3</v>
      </c>
      <c r="G38" s="74"/>
    </row>
    <row r="39" spans="1:7" x14ac:dyDescent="0.25">
      <c r="A39" s="172">
        <v>13</v>
      </c>
      <c r="B39" s="175" t="s">
        <v>265</v>
      </c>
      <c r="C39" s="178">
        <v>6.9444444444444441E-3</v>
      </c>
      <c r="G39" s="74"/>
    </row>
    <row r="40" spans="1:7" x14ac:dyDescent="0.25">
      <c r="A40" s="172">
        <v>14</v>
      </c>
      <c r="B40" s="175" t="s">
        <v>266</v>
      </c>
      <c r="C40" s="178">
        <v>0.14583333333333329</v>
      </c>
      <c r="G40" s="74"/>
    </row>
    <row r="41" spans="1:7" x14ac:dyDescent="0.25">
      <c r="A41" s="172">
        <v>15</v>
      </c>
      <c r="B41" s="175" t="s">
        <v>267</v>
      </c>
      <c r="C41" s="178">
        <v>6.9444444444444441E-3</v>
      </c>
      <c r="G41" s="74"/>
    </row>
    <row r="42" spans="1:7" x14ac:dyDescent="0.25">
      <c r="A42" s="172">
        <v>16</v>
      </c>
      <c r="B42" s="175" t="s">
        <v>268</v>
      </c>
      <c r="C42" s="178">
        <v>6.9444444444444441E-3</v>
      </c>
      <c r="G42" s="74"/>
    </row>
    <row r="43" spans="1:7" x14ac:dyDescent="0.25">
      <c r="A43" s="172">
        <v>17</v>
      </c>
      <c r="B43" s="175" t="s">
        <v>12</v>
      </c>
      <c r="C43" s="178">
        <v>6.9444444444444441E-3</v>
      </c>
      <c r="G43" s="74"/>
    </row>
    <row r="44" spans="1:7" x14ac:dyDescent="0.25">
      <c r="A44" s="172">
        <v>18</v>
      </c>
      <c r="B44" s="175" t="s">
        <v>13</v>
      </c>
      <c r="C44" s="178">
        <v>3.125E-2</v>
      </c>
      <c r="G44" s="74"/>
    </row>
    <row r="45" spans="1:7" x14ac:dyDescent="0.25">
      <c r="A45" s="172">
        <v>19</v>
      </c>
      <c r="B45" s="175" t="s">
        <v>269</v>
      </c>
      <c r="C45" s="178">
        <v>1.041666666666667E-2</v>
      </c>
      <c r="G45" s="74"/>
    </row>
    <row r="46" spans="1:7" x14ac:dyDescent="0.25">
      <c r="A46" s="172">
        <v>20</v>
      </c>
      <c r="B46" s="175" t="s">
        <v>270</v>
      </c>
      <c r="C46" s="178">
        <v>6.9444444444444441E-3</v>
      </c>
      <c r="G46" s="74"/>
    </row>
    <row r="47" spans="1:7" x14ac:dyDescent="0.25">
      <c r="C47" s="29">
        <f>SUM(C27:C46)</f>
        <v>0.34374999999999989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49"/>
  <sheetViews>
    <sheetView topLeftCell="A6" workbookViewId="0">
      <selection activeCell="B34" sqref="B28:B34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2" si="0">ROW() - ROW($A$1)</f>
        <v>1</v>
      </c>
      <c r="B2" s="7" t="s">
        <v>7</v>
      </c>
      <c r="C2" s="8">
        <v>0.3576388888888889</v>
      </c>
      <c r="D2" s="9">
        <v>0.37152777777777779</v>
      </c>
      <c r="E2" s="9">
        <v>1.388888888888889E-2</v>
      </c>
      <c r="F2" s="10">
        <f t="shared" ref="F2:F11" si="1">D2-C2</f>
        <v>1.3888888888888895E-2</v>
      </c>
      <c r="G2" s="11"/>
      <c r="I2" s="39" t="s">
        <v>8</v>
      </c>
    </row>
    <row r="3" spans="1:9" x14ac:dyDescent="0.25">
      <c r="A3" s="6">
        <f t="shared" si="0"/>
        <v>2</v>
      </c>
      <c r="B3" s="14" t="s">
        <v>10</v>
      </c>
      <c r="C3" s="13">
        <v>0.37152777777777779</v>
      </c>
      <c r="D3" s="10">
        <v>0.37847222222222221</v>
      </c>
      <c r="E3" s="10">
        <v>1.7361111111111108E-2</v>
      </c>
      <c r="F3" s="10">
        <f t="shared" si="1"/>
        <v>6.9444444444444198E-3</v>
      </c>
      <c r="G3" s="11"/>
    </row>
    <row r="4" spans="1:9" x14ac:dyDescent="0.25">
      <c r="A4" s="6">
        <f t="shared" si="0"/>
        <v>3</v>
      </c>
      <c r="B4" s="12" t="s">
        <v>9</v>
      </c>
      <c r="C4" s="13">
        <v>0.37847222222222221</v>
      </c>
      <c r="D4" s="10">
        <v>0.39930555555555558</v>
      </c>
      <c r="E4" s="10">
        <v>6.9444444444444441E-3</v>
      </c>
      <c r="F4" s="10">
        <f t="shared" si="1"/>
        <v>2.083333333333337E-2</v>
      </c>
      <c r="G4" s="11"/>
    </row>
    <row r="5" spans="1:9" ht="30" customHeight="1" x14ac:dyDescent="0.25">
      <c r="A5" s="6">
        <f t="shared" si="0"/>
        <v>4</v>
      </c>
      <c r="B5" s="97" t="s">
        <v>260</v>
      </c>
      <c r="C5" s="13">
        <v>0.39930555555555558</v>
      </c>
      <c r="D5" s="10">
        <v>0.40972222222222221</v>
      </c>
      <c r="E5" s="10"/>
      <c r="F5" s="10">
        <f t="shared" si="1"/>
        <v>1.041666666666663E-2</v>
      </c>
      <c r="G5" s="11"/>
    </row>
    <row r="6" spans="1:9" ht="30" customHeight="1" x14ac:dyDescent="0.25">
      <c r="A6" s="6">
        <f t="shared" si="0"/>
        <v>5</v>
      </c>
      <c r="B6" s="12" t="s">
        <v>271</v>
      </c>
      <c r="C6" s="13">
        <v>0.40972222222222221</v>
      </c>
      <c r="D6" s="10">
        <v>0.43055555555555558</v>
      </c>
      <c r="E6" s="10"/>
      <c r="F6" s="10">
        <f t="shared" si="1"/>
        <v>2.083333333333337E-2</v>
      </c>
      <c r="G6" s="11"/>
    </row>
    <row r="7" spans="1:9" ht="30" customHeight="1" x14ac:dyDescent="0.25">
      <c r="A7" s="6">
        <f t="shared" si="0"/>
        <v>6</v>
      </c>
      <c r="B7" s="97" t="s">
        <v>257</v>
      </c>
      <c r="C7" s="13">
        <v>0.43055555555555558</v>
      </c>
      <c r="D7" s="10">
        <v>0.4375</v>
      </c>
      <c r="E7" s="10"/>
      <c r="F7" s="10">
        <f t="shared" si="1"/>
        <v>6.9444444444444198E-3</v>
      </c>
      <c r="G7" s="11"/>
    </row>
    <row r="8" spans="1:9" x14ac:dyDescent="0.25">
      <c r="A8" s="6">
        <f t="shared" si="0"/>
        <v>7</v>
      </c>
      <c r="B8" s="12" t="s">
        <v>143</v>
      </c>
      <c r="C8" s="13">
        <v>0.4375</v>
      </c>
      <c r="D8" s="10">
        <v>0.44097222222222221</v>
      </c>
      <c r="E8" s="10"/>
      <c r="F8" s="13">
        <f t="shared" si="1"/>
        <v>3.4722222222222099E-3</v>
      </c>
      <c r="G8" s="11"/>
    </row>
    <row r="9" spans="1:9" x14ac:dyDescent="0.25">
      <c r="A9" s="6">
        <f t="shared" si="0"/>
        <v>8</v>
      </c>
      <c r="B9" s="12" t="s">
        <v>248</v>
      </c>
      <c r="C9" s="13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2" t="s">
        <v>272</v>
      </c>
      <c r="C10" s="13">
        <v>0.44444444444444442</v>
      </c>
      <c r="D10" s="10">
        <v>0.4513888888888889</v>
      </c>
      <c r="E10" s="10"/>
      <c r="F10" s="10">
        <f t="shared" si="1"/>
        <v>6.9444444444444753E-3</v>
      </c>
      <c r="G10" s="11"/>
    </row>
    <row r="11" spans="1:9" ht="30" customHeight="1" x14ac:dyDescent="0.25">
      <c r="A11" s="6">
        <f t="shared" si="0"/>
        <v>10</v>
      </c>
      <c r="B11" s="12" t="s">
        <v>233</v>
      </c>
      <c r="C11" s="13">
        <v>0.58333333333333337</v>
      </c>
      <c r="D11" s="15">
        <v>0.59375</v>
      </c>
      <c r="E11" s="15"/>
      <c r="F11" s="10">
        <f t="shared" si="1"/>
        <v>1.041666666666663E-2</v>
      </c>
      <c r="G11" s="11"/>
    </row>
    <row r="12" spans="1:9" x14ac:dyDescent="0.25">
      <c r="A12" s="6">
        <f t="shared" si="0"/>
        <v>11</v>
      </c>
      <c r="B12" s="12" t="s">
        <v>273</v>
      </c>
      <c r="C12" s="13"/>
      <c r="D12" s="15"/>
      <c r="E12" s="15"/>
      <c r="F12" s="10">
        <v>1.7361111111111108E-2</v>
      </c>
      <c r="G12" s="11"/>
    </row>
    <row r="13" spans="1:9" x14ac:dyDescent="0.25">
      <c r="A13" s="6">
        <f t="shared" si="0"/>
        <v>12</v>
      </c>
      <c r="B13" s="12" t="s">
        <v>274</v>
      </c>
      <c r="C13" s="13"/>
      <c r="D13" s="15"/>
      <c r="E13" s="15"/>
      <c r="F13" s="10">
        <v>2.0833333333333329E-2</v>
      </c>
      <c r="G13" s="11"/>
    </row>
    <row r="14" spans="1:9" x14ac:dyDescent="0.25">
      <c r="A14" s="6">
        <f t="shared" si="0"/>
        <v>13</v>
      </c>
      <c r="B14" s="12" t="s">
        <v>275</v>
      </c>
      <c r="C14" s="13"/>
      <c r="D14" s="15"/>
      <c r="E14" s="15"/>
      <c r="F14" s="10">
        <v>2.0833333333333329E-2</v>
      </c>
      <c r="G14" s="11"/>
    </row>
    <row r="15" spans="1:9" x14ac:dyDescent="0.25">
      <c r="A15" s="6">
        <f t="shared" si="0"/>
        <v>14</v>
      </c>
      <c r="B15" s="12" t="s">
        <v>276</v>
      </c>
      <c r="C15" s="13"/>
      <c r="D15" s="15"/>
      <c r="E15" s="15"/>
      <c r="F15" s="10">
        <v>1.388888888888889E-2</v>
      </c>
      <c r="G15" s="11"/>
    </row>
    <row r="16" spans="1:9" x14ac:dyDescent="0.25">
      <c r="A16" s="6">
        <f t="shared" si="0"/>
        <v>15</v>
      </c>
      <c r="B16" s="12" t="s">
        <v>277</v>
      </c>
      <c r="C16" s="13"/>
      <c r="D16" s="15"/>
      <c r="E16" s="15"/>
      <c r="F16" s="10">
        <v>1.041666666666667E-2</v>
      </c>
      <c r="G16" s="11"/>
    </row>
    <row r="17" spans="1:7" ht="30" customHeight="1" x14ac:dyDescent="0.25">
      <c r="A17" s="6">
        <f t="shared" si="0"/>
        <v>16</v>
      </c>
      <c r="B17" s="12" t="s">
        <v>278</v>
      </c>
      <c r="C17" s="13"/>
      <c r="D17" s="15"/>
      <c r="E17" s="15"/>
      <c r="F17" s="10">
        <v>1.7361111111111108E-2</v>
      </c>
      <c r="G17" s="11"/>
    </row>
    <row r="18" spans="1:7" x14ac:dyDescent="0.25">
      <c r="A18" s="6">
        <f t="shared" si="0"/>
        <v>17</v>
      </c>
      <c r="B18" s="12" t="s">
        <v>279</v>
      </c>
      <c r="C18" s="13"/>
      <c r="D18" s="15"/>
      <c r="E18" s="15"/>
      <c r="F18" s="10">
        <v>2.0833333333333329E-2</v>
      </c>
      <c r="G18" s="11"/>
    </row>
    <row r="19" spans="1:7" x14ac:dyDescent="0.25">
      <c r="A19" s="6">
        <f t="shared" si="0"/>
        <v>18</v>
      </c>
      <c r="B19" s="12" t="s">
        <v>12</v>
      </c>
      <c r="C19" s="13"/>
      <c r="D19" s="15"/>
      <c r="E19" s="15"/>
      <c r="F19" s="10">
        <v>1.388888888888889E-2</v>
      </c>
      <c r="G19" s="11"/>
    </row>
    <row r="20" spans="1:7" x14ac:dyDescent="0.25">
      <c r="A20" s="6">
        <f t="shared" si="0"/>
        <v>19</v>
      </c>
      <c r="B20" s="12" t="s">
        <v>13</v>
      </c>
      <c r="C20" s="13"/>
      <c r="D20" s="15"/>
      <c r="E20" s="15"/>
      <c r="F20" s="10">
        <v>6.25E-2</v>
      </c>
      <c r="G20" s="11"/>
    </row>
    <row r="21" spans="1:7" ht="15" customHeight="1" x14ac:dyDescent="0.25">
      <c r="A21" s="6">
        <f t="shared" si="0"/>
        <v>20</v>
      </c>
      <c r="B21" s="12" t="s">
        <v>14</v>
      </c>
      <c r="C21" s="13"/>
      <c r="D21" s="15"/>
      <c r="E21" s="15"/>
      <c r="F21" s="10">
        <v>1.388888888888889E-2</v>
      </c>
      <c r="G21" s="11"/>
    </row>
    <row r="22" spans="1:7" ht="15" customHeight="1" thickBot="1" x14ac:dyDescent="0.3">
      <c r="A22" s="6">
        <f t="shared" si="0"/>
        <v>21</v>
      </c>
      <c r="B22" s="12" t="s">
        <v>15</v>
      </c>
      <c r="C22" s="16"/>
      <c r="D22" s="17"/>
      <c r="E22" s="15"/>
      <c r="F22" s="10">
        <v>1.041666666666667E-2</v>
      </c>
      <c r="G22" s="11"/>
    </row>
    <row r="23" spans="1:7" ht="15.75" customHeight="1" thickBot="1" x14ac:dyDescent="0.3">
      <c r="A23" s="18"/>
      <c r="B23" s="19" t="s">
        <v>16</v>
      </c>
      <c r="C23" s="20"/>
      <c r="D23" s="20"/>
      <c r="E23" s="21"/>
      <c r="F23" s="22">
        <f>SUM(F2:F22)</f>
        <v>0.32291666666666663</v>
      </c>
      <c r="G23" s="23"/>
    </row>
    <row r="26" spans="1:7" ht="15.75" customHeight="1" thickBot="1" x14ac:dyDescent="0.3"/>
    <row r="27" spans="1:7" ht="15.75" customHeight="1" thickBot="1" x14ac:dyDescent="0.3">
      <c r="A27" s="169" t="s">
        <v>0</v>
      </c>
      <c r="B27" s="170" t="s">
        <v>1</v>
      </c>
      <c r="C27" s="169" t="s">
        <v>33</v>
      </c>
    </row>
    <row r="28" spans="1:7" x14ac:dyDescent="0.25">
      <c r="A28" s="172">
        <v>1</v>
      </c>
      <c r="B28" s="175" t="s">
        <v>7</v>
      </c>
      <c r="C28" s="178">
        <v>1.388888888888889E-2</v>
      </c>
      <c r="G28" s="74"/>
    </row>
    <row r="29" spans="1:7" x14ac:dyDescent="0.25">
      <c r="A29" s="172">
        <v>2</v>
      </c>
      <c r="B29" s="175" t="s">
        <v>10</v>
      </c>
      <c r="C29" s="178">
        <v>6.9444444444444441E-3</v>
      </c>
      <c r="G29" s="74"/>
    </row>
    <row r="30" spans="1:7" x14ac:dyDescent="0.25">
      <c r="A30" s="172">
        <v>3</v>
      </c>
      <c r="B30" s="175" t="s">
        <v>9</v>
      </c>
      <c r="C30" s="178">
        <v>2.0833333333333329E-2</v>
      </c>
      <c r="G30" s="74"/>
    </row>
    <row r="31" spans="1:7" x14ac:dyDescent="0.25">
      <c r="A31" s="172">
        <v>4</v>
      </c>
      <c r="B31" s="175" t="s">
        <v>260</v>
      </c>
      <c r="C31" s="178">
        <v>1.041666666666667E-2</v>
      </c>
      <c r="G31" s="74"/>
    </row>
    <row r="32" spans="1:7" x14ac:dyDescent="0.25">
      <c r="A32" s="172">
        <v>5</v>
      </c>
      <c r="B32" s="175" t="s">
        <v>271</v>
      </c>
      <c r="C32" s="178">
        <v>2.0833333333333329E-2</v>
      </c>
      <c r="G32" s="74"/>
    </row>
    <row r="33" spans="1:7" x14ac:dyDescent="0.25">
      <c r="A33" s="172">
        <v>6</v>
      </c>
      <c r="B33" s="175" t="s">
        <v>257</v>
      </c>
      <c r="C33" s="178">
        <v>6.9444444444444441E-3</v>
      </c>
      <c r="G33" s="74"/>
    </row>
    <row r="34" spans="1:7" x14ac:dyDescent="0.25">
      <c r="A34" s="172">
        <v>7</v>
      </c>
      <c r="B34" s="175" t="s">
        <v>143</v>
      </c>
      <c r="C34" s="178">
        <v>3.472222222222222E-3</v>
      </c>
      <c r="G34" s="74"/>
    </row>
    <row r="35" spans="1:7" x14ac:dyDescent="0.25">
      <c r="A35" s="172">
        <v>8</v>
      </c>
      <c r="B35" s="175" t="s">
        <v>248</v>
      </c>
      <c r="C35" s="178">
        <v>0</v>
      </c>
      <c r="G35" s="74"/>
    </row>
    <row r="36" spans="1:7" x14ac:dyDescent="0.25">
      <c r="A36" s="172">
        <v>9</v>
      </c>
      <c r="B36" s="175" t="s">
        <v>272</v>
      </c>
      <c r="C36" s="178">
        <v>6.9444444444444441E-3</v>
      </c>
      <c r="G36" s="74"/>
    </row>
    <row r="37" spans="1:7" x14ac:dyDescent="0.25">
      <c r="A37" s="172">
        <v>10</v>
      </c>
      <c r="B37" s="175" t="s">
        <v>233</v>
      </c>
      <c r="C37" s="178">
        <v>1.041666666666667E-2</v>
      </c>
      <c r="G37" s="74"/>
    </row>
    <row r="38" spans="1:7" x14ac:dyDescent="0.25">
      <c r="A38" s="172">
        <v>11</v>
      </c>
      <c r="B38" s="175" t="s">
        <v>273</v>
      </c>
      <c r="C38" s="178">
        <v>1.7361111111111108E-2</v>
      </c>
      <c r="G38" s="74"/>
    </row>
    <row r="39" spans="1:7" x14ac:dyDescent="0.25">
      <c r="A39" s="172">
        <v>12</v>
      </c>
      <c r="B39" s="175" t="s">
        <v>274</v>
      </c>
      <c r="C39" s="178">
        <v>2.0833333333333329E-2</v>
      </c>
      <c r="G39" s="74"/>
    </row>
    <row r="40" spans="1:7" x14ac:dyDescent="0.25">
      <c r="A40" s="172">
        <v>13</v>
      </c>
      <c r="B40" s="175" t="s">
        <v>275</v>
      </c>
      <c r="C40" s="178">
        <v>2.0833333333333329E-2</v>
      </c>
      <c r="G40" s="74"/>
    </row>
    <row r="41" spans="1:7" x14ac:dyDescent="0.25">
      <c r="A41" s="172">
        <v>14</v>
      </c>
      <c r="B41" s="175" t="s">
        <v>276</v>
      </c>
      <c r="C41" s="178">
        <v>1.388888888888889E-2</v>
      </c>
      <c r="G41" s="74"/>
    </row>
    <row r="42" spans="1:7" x14ac:dyDescent="0.25">
      <c r="A42" s="172">
        <v>15</v>
      </c>
      <c r="B42" s="175" t="s">
        <v>277</v>
      </c>
      <c r="C42" s="178">
        <v>1.041666666666667E-2</v>
      </c>
      <c r="G42" s="74"/>
    </row>
    <row r="43" spans="1:7" x14ac:dyDescent="0.25">
      <c r="A43" s="172">
        <v>16</v>
      </c>
      <c r="B43" s="175" t="s">
        <v>278</v>
      </c>
      <c r="C43" s="178">
        <v>1.7361111111111108E-2</v>
      </c>
      <c r="G43" s="74"/>
    </row>
    <row r="44" spans="1:7" x14ac:dyDescent="0.25">
      <c r="A44" s="172">
        <v>17</v>
      </c>
      <c r="B44" s="175" t="s">
        <v>279</v>
      </c>
      <c r="C44" s="178">
        <v>2.0833333333333329E-2</v>
      </c>
      <c r="G44" s="74"/>
    </row>
    <row r="45" spans="1:7" x14ac:dyDescent="0.25">
      <c r="A45" s="172">
        <v>18</v>
      </c>
      <c r="B45" s="175" t="s">
        <v>12</v>
      </c>
      <c r="C45" s="178">
        <v>1.388888888888889E-2</v>
      </c>
      <c r="G45" s="74"/>
    </row>
    <row r="46" spans="1:7" x14ac:dyDescent="0.25">
      <c r="A46" s="172">
        <v>19</v>
      </c>
      <c r="B46" s="175" t="s">
        <v>13</v>
      </c>
      <c r="C46" s="178">
        <v>6.25E-2</v>
      </c>
      <c r="G46" s="74"/>
    </row>
    <row r="47" spans="1:7" x14ac:dyDescent="0.25">
      <c r="A47" s="172">
        <v>20</v>
      </c>
      <c r="B47" s="175" t="s">
        <v>14</v>
      </c>
      <c r="C47" s="178">
        <v>1.388888888888889E-2</v>
      </c>
      <c r="G47" s="74"/>
    </row>
    <row r="48" spans="1:7" x14ac:dyDescent="0.25">
      <c r="A48" s="172">
        <v>21</v>
      </c>
      <c r="B48" s="175" t="s">
        <v>15</v>
      </c>
      <c r="C48" s="178">
        <v>1.041666666666667E-2</v>
      </c>
      <c r="G48" s="74"/>
    </row>
    <row r="49" spans="3:3" x14ac:dyDescent="0.25">
      <c r="C49" s="29">
        <f>SUM(C28:C48)</f>
        <v>0.32291666666666669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42"/>
  <sheetViews>
    <sheetView workbookViewId="0">
      <selection activeCell="G27" sqref="G27"/>
    </sheetView>
  </sheetViews>
  <sheetFormatPr defaultRowHeight="15" x14ac:dyDescent="0.25"/>
  <cols>
    <col min="1" max="1" width="6.7109375" bestFit="1" customWidth="1"/>
    <col min="2" max="2" width="80.140625" customWidth="1"/>
    <col min="3" max="3" width="9.5703125" bestFit="1" customWidth="1"/>
    <col min="4" max="4" width="8.7109375" bestFit="1" customWidth="1"/>
    <col min="5" max="5" width="8.28515625" customWidth="1"/>
    <col min="6" max="6" width="10.85546875" bestFit="1" customWidth="1"/>
    <col min="7" max="7" width="11" bestFit="1" customWidth="1"/>
  </cols>
  <sheetData>
    <row r="1" spans="1:9" ht="15" customHeight="1" thickBot="1" x14ac:dyDescent="0.3">
      <c r="A1" s="124" t="s">
        <v>0</v>
      </c>
      <c r="B1" s="125" t="s">
        <v>1</v>
      </c>
      <c r="C1" s="126" t="s">
        <v>2</v>
      </c>
      <c r="D1" s="127" t="s">
        <v>3</v>
      </c>
      <c r="E1" s="127" t="s">
        <v>4</v>
      </c>
      <c r="F1" s="128" t="s">
        <v>5</v>
      </c>
      <c r="G1" s="125" t="s">
        <v>6</v>
      </c>
    </row>
    <row r="2" spans="1:9" x14ac:dyDescent="0.25">
      <c r="A2" s="129">
        <f t="shared" ref="A2:A21" si="0">ROW() - ROW($A$1)</f>
        <v>1</v>
      </c>
      <c r="B2" s="7" t="s">
        <v>7</v>
      </c>
      <c r="C2" s="130">
        <v>0.375</v>
      </c>
      <c r="D2" s="131">
        <v>0.3888888888888889</v>
      </c>
      <c r="E2" s="131"/>
      <c r="F2" s="132">
        <v>1.7361111111111108E-2</v>
      </c>
      <c r="G2" s="139" t="s">
        <v>155</v>
      </c>
      <c r="I2" s="235" t="s">
        <v>8</v>
      </c>
    </row>
    <row r="3" spans="1:9" x14ac:dyDescent="0.25">
      <c r="A3" s="129">
        <f t="shared" si="0"/>
        <v>2</v>
      </c>
      <c r="B3" s="12" t="s">
        <v>10</v>
      </c>
      <c r="C3" s="133"/>
      <c r="D3" s="132"/>
      <c r="E3" s="132"/>
      <c r="F3" s="132">
        <v>1.388888888888889E-2</v>
      </c>
      <c r="G3" s="139" t="s">
        <v>165</v>
      </c>
    </row>
    <row r="4" spans="1:9" x14ac:dyDescent="0.25">
      <c r="A4" s="129">
        <f t="shared" si="0"/>
        <v>3</v>
      </c>
      <c r="B4" s="14" t="s">
        <v>9</v>
      </c>
      <c r="C4" s="133">
        <v>0.3923611111111111</v>
      </c>
      <c r="D4" s="132">
        <v>0.41666666666666669</v>
      </c>
      <c r="E4" s="132"/>
      <c r="F4" s="132">
        <f>D4-C4</f>
        <v>2.430555555555558E-2</v>
      </c>
      <c r="G4" s="139" t="s">
        <v>155</v>
      </c>
    </row>
    <row r="5" spans="1:9" x14ac:dyDescent="0.25">
      <c r="A5" s="129">
        <f t="shared" si="0"/>
        <v>4</v>
      </c>
      <c r="B5" s="12" t="s">
        <v>257</v>
      </c>
      <c r="C5" s="133">
        <v>0.41666666666666669</v>
      </c>
      <c r="D5" s="132">
        <v>0.44097222222222221</v>
      </c>
      <c r="E5" s="132"/>
      <c r="F5" s="132">
        <f>D5-C5</f>
        <v>2.4305555555555525E-2</v>
      </c>
      <c r="G5" s="139" t="s">
        <v>155</v>
      </c>
    </row>
    <row r="6" spans="1:9" x14ac:dyDescent="0.25">
      <c r="A6" s="129">
        <f t="shared" si="0"/>
        <v>5</v>
      </c>
      <c r="B6" s="97" t="s">
        <v>280</v>
      </c>
      <c r="C6" s="133">
        <v>0.44097222222222221</v>
      </c>
      <c r="D6" s="132">
        <v>0.45277777777777778</v>
      </c>
      <c r="E6" s="132"/>
      <c r="F6" s="132">
        <f>D6-C6</f>
        <v>1.1805555555555569E-2</v>
      </c>
      <c r="G6" s="139" t="s">
        <v>155</v>
      </c>
    </row>
    <row r="7" spans="1:9" x14ac:dyDescent="0.25">
      <c r="A7" s="129">
        <f t="shared" si="0"/>
        <v>6</v>
      </c>
      <c r="B7" s="12" t="s">
        <v>143</v>
      </c>
      <c r="C7" s="133">
        <v>0.45277777777777778</v>
      </c>
      <c r="D7" s="132">
        <v>0.4597222222222222</v>
      </c>
      <c r="E7" s="132"/>
      <c r="F7" s="132">
        <v>6.9444444444444441E-3</v>
      </c>
      <c r="G7" s="139" t="s">
        <v>155</v>
      </c>
    </row>
    <row r="8" spans="1:9" x14ac:dyDescent="0.25">
      <c r="A8" s="129">
        <f t="shared" si="0"/>
        <v>7</v>
      </c>
      <c r="B8" s="12" t="s">
        <v>272</v>
      </c>
      <c r="C8" s="133">
        <v>0.4597222222222222</v>
      </c>
      <c r="D8" s="132">
        <v>0.46666666666666667</v>
      </c>
      <c r="E8" s="132"/>
      <c r="F8" s="133">
        <f>D8-C8</f>
        <v>6.9444444444444753E-3</v>
      </c>
      <c r="G8" s="139" t="s">
        <v>155</v>
      </c>
    </row>
    <row r="9" spans="1:9" x14ac:dyDescent="0.25">
      <c r="A9" s="129">
        <f t="shared" si="0"/>
        <v>8</v>
      </c>
      <c r="B9" s="12" t="s">
        <v>233</v>
      </c>
      <c r="C9" s="133">
        <v>0.46666666666666667</v>
      </c>
      <c r="D9" s="132">
        <v>0.47569444444444442</v>
      </c>
      <c r="E9" s="132"/>
      <c r="F9" s="132">
        <f>D9-C9</f>
        <v>9.0277777777777457E-3</v>
      </c>
      <c r="G9" s="139" t="s">
        <v>155</v>
      </c>
    </row>
    <row r="10" spans="1:9" x14ac:dyDescent="0.25">
      <c r="A10" s="129">
        <f t="shared" si="0"/>
        <v>9</v>
      </c>
      <c r="B10" s="12" t="s">
        <v>281</v>
      </c>
      <c r="C10" s="133">
        <v>0.3888888888888889</v>
      </c>
      <c r="D10" s="132">
        <v>0.3923611111111111</v>
      </c>
      <c r="E10" s="132"/>
      <c r="F10" s="132">
        <f>D10-C10</f>
        <v>3.4722222222222099E-3</v>
      </c>
      <c r="G10" s="139" t="s">
        <v>155</v>
      </c>
    </row>
    <row r="11" spans="1:9" x14ac:dyDescent="0.25">
      <c r="A11" s="129">
        <f t="shared" si="0"/>
        <v>10</v>
      </c>
      <c r="B11" s="12" t="s">
        <v>282</v>
      </c>
      <c r="C11" s="133"/>
      <c r="D11" s="134"/>
      <c r="E11" s="134"/>
      <c r="F11" s="132">
        <v>4.1666666666666657E-2</v>
      </c>
      <c r="G11" s="139"/>
    </row>
    <row r="12" spans="1:9" x14ac:dyDescent="0.25">
      <c r="A12" s="129">
        <f t="shared" si="0"/>
        <v>11</v>
      </c>
      <c r="B12" s="12" t="s">
        <v>283</v>
      </c>
      <c r="C12" s="133"/>
      <c r="D12" s="134"/>
      <c r="E12" s="134"/>
      <c r="F12" s="132">
        <v>2.0833333333333329E-2</v>
      </c>
      <c r="G12" s="139"/>
    </row>
    <row r="13" spans="1:9" x14ac:dyDescent="0.25">
      <c r="A13" s="129">
        <f t="shared" si="0"/>
        <v>12</v>
      </c>
      <c r="B13" s="12" t="s">
        <v>284</v>
      </c>
      <c r="C13" s="133"/>
      <c r="D13" s="134"/>
      <c r="E13" s="134"/>
      <c r="F13" s="132">
        <v>4.1666666666666657E-2</v>
      </c>
      <c r="G13" s="139"/>
    </row>
    <row r="14" spans="1:9" x14ac:dyDescent="0.25">
      <c r="A14" s="129">
        <f t="shared" si="0"/>
        <v>13</v>
      </c>
      <c r="B14" s="12"/>
      <c r="C14" s="133"/>
      <c r="D14" s="134"/>
      <c r="E14" s="134"/>
      <c r="F14" s="132">
        <f>D14-C14</f>
        <v>0</v>
      </c>
      <c r="G14" s="139"/>
    </row>
    <row r="15" spans="1:9" x14ac:dyDescent="0.25">
      <c r="A15" s="129">
        <f t="shared" si="0"/>
        <v>14</v>
      </c>
      <c r="B15" s="12"/>
      <c r="C15" s="133"/>
      <c r="D15" s="134"/>
      <c r="E15" s="134"/>
      <c r="F15" s="132">
        <f>D15-C15</f>
        <v>0</v>
      </c>
      <c r="G15" s="139"/>
    </row>
    <row r="16" spans="1:9" x14ac:dyDescent="0.25">
      <c r="A16" s="129">
        <f t="shared" si="0"/>
        <v>15</v>
      </c>
      <c r="B16" s="12"/>
      <c r="C16" s="133"/>
      <c r="D16" s="134"/>
      <c r="E16" s="134"/>
      <c r="F16" s="132">
        <f>D16-C16</f>
        <v>0</v>
      </c>
      <c r="G16" s="139"/>
    </row>
    <row r="17" spans="1:13" x14ac:dyDescent="0.25">
      <c r="A17" s="129">
        <f t="shared" si="0"/>
        <v>16</v>
      </c>
      <c r="B17" s="12"/>
      <c r="C17" s="133"/>
      <c r="D17" s="134"/>
      <c r="E17" s="134"/>
      <c r="F17" s="132">
        <f>D17-C17</f>
        <v>0</v>
      </c>
      <c r="G17" s="139"/>
      <c r="M17" s="234"/>
    </row>
    <row r="18" spans="1:13" x14ac:dyDescent="0.25">
      <c r="A18" s="129">
        <f t="shared" si="0"/>
        <v>17</v>
      </c>
      <c r="B18" s="12" t="s">
        <v>12</v>
      </c>
      <c r="C18" s="133"/>
      <c r="D18" s="134"/>
      <c r="E18" s="134"/>
      <c r="F18" s="132">
        <v>1.388888888888889E-2</v>
      </c>
      <c r="G18" s="139"/>
    </row>
    <row r="19" spans="1:13" x14ac:dyDescent="0.25">
      <c r="A19" s="129">
        <f t="shared" si="0"/>
        <v>18</v>
      </c>
      <c r="B19" s="12" t="s">
        <v>13</v>
      </c>
      <c r="C19" s="133"/>
      <c r="D19" s="134"/>
      <c r="E19" s="134"/>
      <c r="F19" s="132">
        <v>6.25E-2</v>
      </c>
      <c r="G19" s="139"/>
    </row>
    <row r="20" spans="1:13" x14ac:dyDescent="0.25">
      <c r="A20" s="129">
        <f t="shared" si="0"/>
        <v>19</v>
      </c>
      <c r="B20" s="12" t="s">
        <v>14</v>
      </c>
      <c r="C20" s="133"/>
      <c r="D20" s="134"/>
      <c r="E20" s="134"/>
      <c r="F20" s="132">
        <v>1.388888888888889E-2</v>
      </c>
      <c r="G20" s="139"/>
    </row>
    <row r="21" spans="1:13" ht="15" customHeight="1" thickBot="1" x14ac:dyDescent="0.3">
      <c r="A21" s="129">
        <f t="shared" si="0"/>
        <v>20</v>
      </c>
      <c r="B21" s="12" t="s">
        <v>15</v>
      </c>
      <c r="C21" s="231"/>
      <c r="D21" s="232"/>
      <c r="E21" s="134"/>
      <c r="F21" s="132">
        <v>1.041666666666667E-2</v>
      </c>
      <c r="G21" s="139"/>
    </row>
    <row r="22" spans="1:13" ht="15" customHeight="1" thickBot="1" x14ac:dyDescent="0.3">
      <c r="A22" s="135"/>
      <c r="B22" s="19" t="s">
        <v>16</v>
      </c>
      <c r="C22" s="20"/>
      <c r="D22" s="20"/>
      <c r="E22" s="21"/>
      <c r="F22" s="106">
        <f>SUM(F2:F21)</f>
        <v>0.32291666666666663</v>
      </c>
      <c r="G22" s="233"/>
    </row>
    <row r="24" spans="1:13" ht="15.75" customHeight="1" thickBot="1" x14ac:dyDescent="0.3"/>
    <row r="25" spans="1:13" ht="15.75" customHeight="1" thickBot="1" x14ac:dyDescent="0.3">
      <c r="A25" s="169" t="s">
        <v>254</v>
      </c>
      <c r="B25" s="170" t="s">
        <v>1</v>
      </c>
      <c r="C25" s="169" t="s">
        <v>33</v>
      </c>
    </row>
    <row r="26" spans="1:13" x14ac:dyDescent="0.25">
      <c r="A26" s="172">
        <v>1</v>
      </c>
      <c r="B26" s="175" t="s">
        <v>7</v>
      </c>
      <c r="C26" s="178">
        <v>1.7361111111111108E-2</v>
      </c>
      <c r="G26" s="74"/>
    </row>
    <row r="27" spans="1:13" x14ac:dyDescent="0.25">
      <c r="A27" s="172">
        <v>2</v>
      </c>
      <c r="B27" s="175" t="s">
        <v>10</v>
      </c>
      <c r="C27" s="178">
        <v>1.388888888888889E-2</v>
      </c>
      <c r="G27" s="74"/>
    </row>
    <row r="28" spans="1:13" x14ac:dyDescent="0.25">
      <c r="A28" s="172">
        <v>3</v>
      </c>
      <c r="B28" s="175" t="s">
        <v>9</v>
      </c>
      <c r="C28" s="178">
        <v>2.4305555555555559E-2</v>
      </c>
      <c r="G28" s="74"/>
    </row>
    <row r="29" spans="1:13" x14ac:dyDescent="0.25">
      <c r="A29" s="172">
        <v>4</v>
      </c>
      <c r="B29" s="175" t="s">
        <v>257</v>
      </c>
      <c r="C29" s="178">
        <v>2.4305555555555559E-2</v>
      </c>
      <c r="G29" s="74"/>
    </row>
    <row r="30" spans="1:13" x14ac:dyDescent="0.25">
      <c r="A30" s="172">
        <v>5</v>
      </c>
      <c r="B30" s="175" t="s">
        <v>280</v>
      </c>
      <c r="C30" s="178">
        <v>1.180555555555556E-2</v>
      </c>
      <c r="G30" s="74"/>
    </row>
    <row r="31" spans="1:13" x14ac:dyDescent="0.25">
      <c r="A31" s="172">
        <v>6</v>
      </c>
      <c r="B31" s="175" t="s">
        <v>143</v>
      </c>
      <c r="C31" s="178">
        <v>6.9444444444444441E-3</v>
      </c>
      <c r="G31" s="74"/>
    </row>
    <row r="32" spans="1:13" x14ac:dyDescent="0.25">
      <c r="A32" s="172">
        <v>7</v>
      </c>
      <c r="B32" s="175" t="s">
        <v>272</v>
      </c>
      <c r="C32" s="178">
        <v>6.9444444444444441E-3</v>
      </c>
      <c r="G32" s="74"/>
    </row>
    <row r="33" spans="1:7" x14ac:dyDescent="0.25">
      <c r="A33" s="172">
        <v>8</v>
      </c>
      <c r="B33" s="175" t="s">
        <v>233</v>
      </c>
      <c r="C33" s="178">
        <v>9.0277777777777769E-3</v>
      </c>
      <c r="G33" s="74"/>
    </row>
    <row r="34" spans="1:7" x14ac:dyDescent="0.25">
      <c r="A34" s="172">
        <v>9</v>
      </c>
      <c r="B34" s="175" t="s">
        <v>281</v>
      </c>
      <c r="C34" s="178">
        <v>3.472222222222222E-3</v>
      </c>
      <c r="G34" s="74"/>
    </row>
    <row r="35" spans="1:7" x14ac:dyDescent="0.25">
      <c r="A35" s="172">
        <v>10</v>
      </c>
      <c r="B35" s="175" t="s">
        <v>282</v>
      </c>
      <c r="C35" s="178">
        <v>4.1666666666666657E-2</v>
      </c>
      <c r="G35" s="74"/>
    </row>
    <row r="36" spans="1:7" x14ac:dyDescent="0.25">
      <c r="A36" s="172">
        <v>11</v>
      </c>
      <c r="B36" s="175" t="s">
        <v>283</v>
      </c>
      <c r="C36" s="178">
        <v>2.0833333333333329E-2</v>
      </c>
      <c r="G36" s="74"/>
    </row>
    <row r="37" spans="1:7" x14ac:dyDescent="0.25">
      <c r="A37" s="172">
        <v>12</v>
      </c>
      <c r="B37" s="175" t="s">
        <v>284</v>
      </c>
      <c r="C37" s="178">
        <v>4.1666666666666657E-2</v>
      </c>
      <c r="G37" s="74"/>
    </row>
    <row r="38" spans="1:7" x14ac:dyDescent="0.25">
      <c r="A38" s="172">
        <v>13</v>
      </c>
      <c r="B38" s="175" t="s">
        <v>12</v>
      </c>
      <c r="C38" s="178">
        <v>1.388888888888889E-2</v>
      </c>
      <c r="G38" s="74"/>
    </row>
    <row r="39" spans="1:7" x14ac:dyDescent="0.25">
      <c r="A39" s="172">
        <v>14</v>
      </c>
      <c r="B39" s="175" t="s">
        <v>13</v>
      </c>
      <c r="C39" s="178">
        <v>6.25E-2</v>
      </c>
      <c r="G39" s="74"/>
    </row>
    <row r="40" spans="1:7" x14ac:dyDescent="0.25">
      <c r="A40" s="172">
        <v>15</v>
      </c>
      <c r="B40" s="175" t="s">
        <v>14</v>
      </c>
      <c r="C40" s="178">
        <v>1.388888888888889E-2</v>
      </c>
      <c r="G40" s="74"/>
    </row>
    <row r="41" spans="1:7" x14ac:dyDescent="0.25">
      <c r="A41" s="172">
        <v>16</v>
      </c>
      <c r="B41" s="175" t="s">
        <v>15</v>
      </c>
      <c r="C41" s="178">
        <v>1.041666666666667E-2</v>
      </c>
      <c r="G41" s="74"/>
    </row>
    <row r="42" spans="1:7" x14ac:dyDescent="0.25">
      <c r="C42" s="29">
        <f>SUM(C26:C41)</f>
        <v>0.32291666666666663</v>
      </c>
    </row>
  </sheetData>
  <conditionalFormatting sqref="G2:G21">
    <cfRule type="expression" dxfId="8" priority="1">
      <formula>SEARCH("In-Progress", G2)</formula>
    </cfRule>
    <cfRule type="expression" dxfId="7" priority="2">
      <formula>SEARCH("Incomplete", G2)</formula>
    </cfRule>
    <cfRule type="expression" dxfId="6" priority="3">
      <formula>SEARCH("Completed", G2)</formula>
    </cfRule>
  </conditionalFormatting>
  <dataValidations count="1">
    <dataValidation type="list" allowBlank="1" showInputMessage="1" showErrorMessage="1" sqref="G2:G21" xr:uid="{00000000-0002-0000-1000-000000000000}">
      <formula1>"Completed, Incomplete, In-Progress"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2"/>
  <sheetViews>
    <sheetView workbookViewId="0">
      <selection activeCell="B2" sqref="B2:B8"/>
    </sheetView>
  </sheetViews>
  <sheetFormatPr defaultColWidth="9.140625" defaultRowHeight="15" x14ac:dyDescent="0.25"/>
  <cols>
    <col min="1" max="1" width="6.7109375" bestFit="1" customWidth="1"/>
    <col min="2" max="2" width="83.28515625" customWidth="1"/>
    <col min="3" max="3" width="9.5703125" bestFit="1" customWidth="1"/>
    <col min="4" max="4" width="8.7109375" bestFit="1" customWidth="1"/>
    <col min="5" max="5" width="8.140625" customWidth="1"/>
    <col min="6" max="6" width="6.42578125" customWidth="1"/>
    <col min="7" max="7" width="6.7109375" bestFit="1" customWidth="1"/>
    <col min="8" max="8" width="9.140625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237" t="s">
        <v>4</v>
      </c>
      <c r="F1" s="238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189" t="s">
        <v>7</v>
      </c>
      <c r="C2" s="8">
        <v>0.38541666666666669</v>
      </c>
      <c r="D2" s="9">
        <v>0.4</v>
      </c>
      <c r="E2" s="9"/>
      <c r="F2" s="10">
        <f>D2-C2</f>
        <v>1.4583333333333337E-2</v>
      </c>
      <c r="G2" s="11"/>
      <c r="I2" s="236" t="s">
        <v>8</v>
      </c>
    </row>
    <row r="3" spans="1:9" x14ac:dyDescent="0.25">
      <c r="A3" s="6">
        <f t="shared" si="0"/>
        <v>2</v>
      </c>
      <c r="B3" s="99" t="s">
        <v>10</v>
      </c>
      <c r="C3" s="13"/>
      <c r="D3" s="10"/>
      <c r="E3" s="10"/>
      <c r="F3" s="10">
        <v>1.388888888888889E-2</v>
      </c>
      <c r="G3" s="11"/>
    </row>
    <row r="4" spans="1:9" x14ac:dyDescent="0.25">
      <c r="A4" s="6">
        <f t="shared" si="0"/>
        <v>3</v>
      </c>
      <c r="B4" s="190" t="s">
        <v>9</v>
      </c>
      <c r="C4" s="13">
        <v>0.4</v>
      </c>
      <c r="D4" s="10">
        <v>0.41458333333333341</v>
      </c>
      <c r="E4" s="10"/>
      <c r="F4" s="10">
        <f t="shared" ref="F4:F21" si="1">D4-C4</f>
        <v>1.4583333333333393E-2</v>
      </c>
      <c r="G4" s="11"/>
    </row>
    <row r="5" spans="1:9" x14ac:dyDescent="0.25">
      <c r="A5" s="6">
        <f t="shared" si="0"/>
        <v>4</v>
      </c>
      <c r="B5" s="99" t="s">
        <v>260</v>
      </c>
      <c r="C5" s="13">
        <v>0.41458333333333341</v>
      </c>
      <c r="D5" s="10"/>
      <c r="E5" s="10"/>
      <c r="F5" s="10">
        <f t="shared" si="1"/>
        <v>-0.41458333333333341</v>
      </c>
      <c r="G5" s="11"/>
    </row>
    <row r="6" spans="1:9" x14ac:dyDescent="0.25">
      <c r="A6" s="6">
        <f t="shared" si="0"/>
        <v>5</v>
      </c>
      <c r="B6" s="99" t="s">
        <v>271</v>
      </c>
      <c r="C6" s="13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99" t="s">
        <v>257</v>
      </c>
      <c r="C7" s="13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99" t="s">
        <v>143</v>
      </c>
      <c r="C8" s="13"/>
      <c r="D8" s="10"/>
      <c r="E8" s="10"/>
      <c r="F8" s="13">
        <f t="shared" si="1"/>
        <v>0</v>
      </c>
      <c r="G8" s="11"/>
    </row>
    <row r="9" spans="1:9" x14ac:dyDescent="0.25">
      <c r="A9" s="6">
        <f t="shared" si="0"/>
        <v>8</v>
      </c>
      <c r="B9" s="99"/>
      <c r="C9" s="13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99"/>
      <c r="C10" s="13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99"/>
      <c r="C11" s="13"/>
      <c r="D11" s="15"/>
      <c r="E11" s="15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99"/>
      <c r="C12" s="13"/>
      <c r="D12" s="15"/>
      <c r="E12" s="15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99"/>
      <c r="C13" s="13"/>
      <c r="D13" s="15"/>
      <c r="E13" s="15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99"/>
      <c r="C14" s="13"/>
      <c r="D14" s="15"/>
      <c r="E14" s="15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99"/>
      <c r="C15" s="13"/>
      <c r="D15" s="15"/>
      <c r="E15" s="15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99"/>
      <c r="C16" s="13"/>
      <c r="D16" s="15"/>
      <c r="E16" s="15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99"/>
      <c r="C17" s="13"/>
      <c r="D17" s="15"/>
      <c r="E17" s="15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99" t="s">
        <v>12</v>
      </c>
      <c r="C18" s="13"/>
      <c r="D18" s="15"/>
      <c r="E18" s="15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99" t="s">
        <v>13</v>
      </c>
      <c r="C19" s="13"/>
      <c r="D19" s="15"/>
      <c r="E19" s="15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99" t="s">
        <v>14</v>
      </c>
      <c r="C20" s="13"/>
      <c r="D20" s="15"/>
      <c r="E20" s="15"/>
      <c r="F20" s="10">
        <f t="shared" si="1"/>
        <v>0</v>
      </c>
      <c r="G20" s="11"/>
    </row>
    <row r="21" spans="1:7" ht="15" customHeight="1" thickBot="1" x14ac:dyDescent="0.3">
      <c r="A21" s="6">
        <f t="shared" si="0"/>
        <v>20</v>
      </c>
      <c r="B21" s="99" t="s">
        <v>15</v>
      </c>
      <c r="C21" s="16"/>
      <c r="D21" s="17"/>
      <c r="E21" s="15"/>
      <c r="F21" s="10">
        <f t="shared" si="1"/>
        <v>0</v>
      </c>
      <c r="G21" s="11"/>
    </row>
    <row r="22" spans="1:7" ht="15" customHeight="1" thickBot="1" x14ac:dyDescent="0.3">
      <c r="A22" s="18"/>
      <c r="B22" s="191" t="s">
        <v>16</v>
      </c>
      <c r="C22" s="192"/>
      <c r="D22" s="192"/>
      <c r="E22" s="193"/>
      <c r="F22" s="22">
        <f>SUM(F2:F21)</f>
        <v>-0.37152777777777779</v>
      </c>
      <c r="G22" s="2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2"/>
  <sheetViews>
    <sheetView workbookViewId="0">
      <selection activeCell="B2" sqref="B2:B8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189" t="s">
        <v>7</v>
      </c>
      <c r="C2" s="8"/>
      <c r="D2" s="9"/>
      <c r="E2" s="9">
        <v>1.388888888888889E-2</v>
      </c>
      <c r="F2" s="10">
        <f t="shared" ref="F2:F21" si="1">D2-C2</f>
        <v>0</v>
      </c>
      <c r="G2" s="11"/>
      <c r="I2" s="39" t="s">
        <v>8</v>
      </c>
    </row>
    <row r="3" spans="1:9" x14ac:dyDescent="0.25">
      <c r="A3" s="6">
        <f t="shared" si="0"/>
        <v>2</v>
      </c>
      <c r="B3" s="99" t="s">
        <v>10</v>
      </c>
      <c r="C3" s="13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90" t="s">
        <v>9</v>
      </c>
      <c r="C4" s="13">
        <v>0.40555555555555561</v>
      </c>
      <c r="D4" s="10"/>
      <c r="E4" s="10">
        <v>6.9444444444444441E-3</v>
      </c>
      <c r="F4" s="10">
        <f t="shared" si="1"/>
        <v>-0.40555555555555561</v>
      </c>
      <c r="G4" s="11"/>
    </row>
    <row r="5" spans="1:9" x14ac:dyDescent="0.25">
      <c r="A5" s="6">
        <f t="shared" si="0"/>
        <v>4</v>
      </c>
      <c r="B5" s="99" t="s">
        <v>260</v>
      </c>
      <c r="C5" s="13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99" t="s">
        <v>271</v>
      </c>
      <c r="C6" s="13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99" t="s">
        <v>257</v>
      </c>
      <c r="C7" s="13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99" t="s">
        <v>143</v>
      </c>
      <c r="C8" s="13"/>
      <c r="D8" s="10"/>
      <c r="E8" s="10"/>
      <c r="F8" s="13">
        <f t="shared" si="1"/>
        <v>0</v>
      </c>
      <c r="G8" s="11"/>
    </row>
    <row r="9" spans="1:9" x14ac:dyDescent="0.25">
      <c r="A9" s="6">
        <f t="shared" si="0"/>
        <v>8</v>
      </c>
      <c r="B9" s="12"/>
      <c r="C9" s="13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2"/>
      <c r="C10" s="13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2"/>
      <c r="C11" s="13"/>
      <c r="D11" s="15"/>
      <c r="E11" s="15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2"/>
      <c r="C12" s="13"/>
      <c r="D12" s="15"/>
      <c r="E12" s="15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2"/>
      <c r="C13" s="13"/>
      <c r="D13" s="15"/>
      <c r="E13" s="15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2" t="s">
        <v>12</v>
      </c>
      <c r="C18" s="13"/>
      <c r="D18" s="15"/>
      <c r="E18" s="15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2" t="s">
        <v>13</v>
      </c>
      <c r="C19" s="13"/>
      <c r="D19" s="15"/>
      <c r="E19" s="15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2" t="s">
        <v>14</v>
      </c>
      <c r="C20" s="13"/>
      <c r="D20" s="15"/>
      <c r="E20" s="15"/>
      <c r="F20" s="10">
        <f t="shared" si="1"/>
        <v>0</v>
      </c>
      <c r="G20" s="11"/>
    </row>
    <row r="21" spans="1:7" ht="15" customHeight="1" thickBot="1" x14ac:dyDescent="0.3">
      <c r="A21" s="6">
        <f t="shared" si="0"/>
        <v>20</v>
      </c>
      <c r="B21" s="12" t="s">
        <v>15</v>
      </c>
      <c r="C21" s="16"/>
      <c r="D21" s="17"/>
      <c r="E21" s="15"/>
      <c r="F21" s="10">
        <f t="shared" si="1"/>
        <v>0</v>
      </c>
      <c r="G21" s="11"/>
    </row>
    <row r="22" spans="1:7" ht="15" customHeight="1" thickBot="1" x14ac:dyDescent="0.3">
      <c r="A22" s="18"/>
      <c r="B22" s="19" t="s">
        <v>16</v>
      </c>
      <c r="C22" s="20"/>
      <c r="D22" s="20"/>
      <c r="E22" s="21"/>
      <c r="F22" s="22">
        <f>SUM(F2:F21)</f>
        <v>-0.40555555555555561</v>
      </c>
      <c r="G22" s="2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2"/>
  <sheetViews>
    <sheetView workbookViewId="0">
      <selection activeCell="G15" sqref="G15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11" bestFit="1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189" t="s">
        <v>7</v>
      </c>
      <c r="C2" s="8">
        <v>0.40277777777777779</v>
      </c>
      <c r="D2" s="9">
        <v>0.41666666666666669</v>
      </c>
      <c r="E2" s="9">
        <v>1.388888888888889E-2</v>
      </c>
      <c r="F2" s="10">
        <f>D2-C2</f>
        <v>1.3888888888888895E-2</v>
      </c>
      <c r="G2" s="139" t="s">
        <v>155</v>
      </c>
      <c r="I2" s="39" t="s">
        <v>8</v>
      </c>
    </row>
    <row r="3" spans="1:9" x14ac:dyDescent="0.25">
      <c r="A3" s="6">
        <f t="shared" si="0"/>
        <v>2</v>
      </c>
      <c r="B3" s="99" t="s">
        <v>10</v>
      </c>
      <c r="C3" s="13"/>
      <c r="D3" s="10"/>
      <c r="E3" s="10">
        <v>1.7361111111111108E-2</v>
      </c>
      <c r="F3" s="10">
        <v>1.7361111111111108E-2</v>
      </c>
      <c r="G3" s="139" t="s">
        <v>155</v>
      </c>
    </row>
    <row r="4" spans="1:9" x14ac:dyDescent="0.25">
      <c r="A4" s="6">
        <f t="shared" si="0"/>
        <v>3</v>
      </c>
      <c r="B4" s="190" t="s">
        <v>9</v>
      </c>
      <c r="C4" s="13"/>
      <c r="D4" s="10"/>
      <c r="E4" s="10">
        <v>6.9444444444444441E-3</v>
      </c>
      <c r="F4" s="10">
        <v>1.388888888888889E-2</v>
      </c>
      <c r="G4" s="139" t="s">
        <v>155</v>
      </c>
    </row>
    <row r="5" spans="1:9" x14ac:dyDescent="0.25">
      <c r="A5" s="6">
        <f t="shared" si="0"/>
        <v>4</v>
      </c>
      <c r="B5" s="99" t="s">
        <v>285</v>
      </c>
      <c r="C5" s="13"/>
      <c r="D5" s="10"/>
      <c r="E5" s="10">
        <v>4.1666666666666657E-2</v>
      </c>
      <c r="F5" s="10">
        <v>1.388888888888889E-2</v>
      </c>
      <c r="G5" s="139" t="s">
        <v>155</v>
      </c>
    </row>
    <row r="6" spans="1:9" x14ac:dyDescent="0.25">
      <c r="A6" s="6">
        <f t="shared" si="0"/>
        <v>5</v>
      </c>
      <c r="B6" s="99" t="s">
        <v>286</v>
      </c>
      <c r="C6" s="13"/>
      <c r="D6" s="10"/>
      <c r="E6" s="10"/>
      <c r="F6" s="10">
        <v>1.388888888888889E-2</v>
      </c>
      <c r="G6" s="139" t="s">
        <v>155</v>
      </c>
    </row>
    <row r="7" spans="1:9" x14ac:dyDescent="0.25">
      <c r="A7" s="6">
        <f t="shared" si="0"/>
        <v>6</v>
      </c>
      <c r="B7" s="99" t="s">
        <v>287</v>
      </c>
      <c r="C7" s="13"/>
      <c r="D7" s="10"/>
      <c r="E7" s="10"/>
      <c r="F7" s="10">
        <v>6.25E-2</v>
      </c>
      <c r="G7" s="139" t="s">
        <v>155</v>
      </c>
    </row>
    <row r="8" spans="1:9" x14ac:dyDescent="0.25">
      <c r="A8" s="6">
        <f t="shared" si="0"/>
        <v>7</v>
      </c>
      <c r="B8" s="99" t="s">
        <v>288</v>
      </c>
      <c r="C8" s="13"/>
      <c r="D8" s="10"/>
      <c r="E8" s="10"/>
      <c r="F8" s="13">
        <f t="shared" ref="F8:F21" si="1">D8-C8</f>
        <v>0</v>
      </c>
      <c r="G8" s="139" t="s">
        <v>165</v>
      </c>
    </row>
    <row r="9" spans="1:9" x14ac:dyDescent="0.25">
      <c r="A9" s="6">
        <f t="shared" si="0"/>
        <v>8</v>
      </c>
      <c r="B9" s="12"/>
      <c r="C9" s="13"/>
      <c r="D9" s="10"/>
      <c r="E9" s="10"/>
      <c r="F9" s="10">
        <f t="shared" si="1"/>
        <v>0</v>
      </c>
      <c r="G9" s="139"/>
    </row>
    <row r="10" spans="1:9" x14ac:dyDescent="0.25">
      <c r="A10" s="6">
        <f t="shared" si="0"/>
        <v>9</v>
      </c>
      <c r="B10" s="12"/>
      <c r="C10" s="13"/>
      <c r="D10" s="10"/>
      <c r="E10" s="10"/>
      <c r="F10" s="10">
        <f t="shared" si="1"/>
        <v>0</v>
      </c>
      <c r="G10" s="139"/>
    </row>
    <row r="11" spans="1:9" x14ac:dyDescent="0.25">
      <c r="A11" s="6">
        <f t="shared" si="0"/>
        <v>10</v>
      </c>
      <c r="B11" s="12"/>
      <c r="C11" s="13"/>
      <c r="D11" s="15"/>
      <c r="E11" s="15"/>
      <c r="F11" s="10">
        <f t="shared" si="1"/>
        <v>0</v>
      </c>
      <c r="G11" s="139"/>
    </row>
    <row r="12" spans="1:9" x14ac:dyDescent="0.25">
      <c r="A12" s="6">
        <f t="shared" si="0"/>
        <v>11</v>
      </c>
      <c r="B12" s="12"/>
      <c r="C12" s="13"/>
      <c r="D12" s="15"/>
      <c r="E12" s="15"/>
      <c r="F12" s="10">
        <f t="shared" si="1"/>
        <v>0</v>
      </c>
      <c r="G12" s="139"/>
    </row>
    <row r="13" spans="1:9" x14ac:dyDescent="0.25">
      <c r="A13" s="6">
        <f t="shared" si="0"/>
        <v>12</v>
      </c>
      <c r="B13" s="12"/>
      <c r="C13" s="13"/>
      <c r="D13" s="15"/>
      <c r="E13" s="15"/>
      <c r="F13" s="10">
        <f t="shared" si="1"/>
        <v>0</v>
      </c>
      <c r="G13" s="139"/>
    </row>
    <row r="14" spans="1:9" x14ac:dyDescent="0.25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39"/>
    </row>
    <row r="15" spans="1:9" x14ac:dyDescent="0.25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39"/>
    </row>
    <row r="16" spans="1:9" x14ac:dyDescent="0.25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39"/>
    </row>
    <row r="17" spans="1:7" x14ac:dyDescent="0.25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39"/>
    </row>
    <row r="18" spans="1:7" x14ac:dyDescent="0.25">
      <c r="A18" s="6">
        <f t="shared" si="0"/>
        <v>17</v>
      </c>
      <c r="B18" s="12" t="s">
        <v>12</v>
      </c>
      <c r="C18" s="13"/>
      <c r="D18" s="15"/>
      <c r="E18" s="15"/>
      <c r="F18" s="10">
        <f t="shared" si="1"/>
        <v>0</v>
      </c>
      <c r="G18" s="139"/>
    </row>
    <row r="19" spans="1:7" x14ac:dyDescent="0.25">
      <c r="A19" s="6">
        <f t="shared" si="0"/>
        <v>18</v>
      </c>
      <c r="B19" s="12" t="s">
        <v>13</v>
      </c>
      <c r="C19" s="13"/>
      <c r="D19" s="15"/>
      <c r="E19" s="15"/>
      <c r="F19" s="10">
        <f t="shared" si="1"/>
        <v>0</v>
      </c>
      <c r="G19" s="139"/>
    </row>
    <row r="20" spans="1:7" x14ac:dyDescent="0.25">
      <c r="A20" s="6">
        <f t="shared" si="0"/>
        <v>19</v>
      </c>
      <c r="B20" s="12" t="s">
        <v>14</v>
      </c>
      <c r="C20" s="13"/>
      <c r="D20" s="15"/>
      <c r="E20" s="15"/>
      <c r="F20" s="10">
        <f t="shared" si="1"/>
        <v>0</v>
      </c>
      <c r="G20" s="139"/>
    </row>
    <row r="21" spans="1:7" ht="15" customHeight="1" thickBot="1" x14ac:dyDescent="0.3">
      <c r="A21" s="6">
        <f t="shared" si="0"/>
        <v>20</v>
      </c>
      <c r="B21" s="12" t="s">
        <v>15</v>
      </c>
      <c r="C21" s="16"/>
      <c r="D21" s="17"/>
      <c r="E21" s="15"/>
      <c r="F21" s="10">
        <f t="shared" si="1"/>
        <v>0</v>
      </c>
      <c r="G21" s="139"/>
    </row>
    <row r="22" spans="1:7" ht="15" customHeight="1" thickBot="1" x14ac:dyDescent="0.3">
      <c r="A22" s="18"/>
      <c r="B22" s="19" t="s">
        <v>16</v>
      </c>
      <c r="C22" s="20"/>
      <c r="D22" s="20"/>
      <c r="E22" s="21"/>
      <c r="F22" s="22">
        <f>SUM(F2:F21)</f>
        <v>0.13541666666666669</v>
      </c>
      <c r="G22" s="23"/>
    </row>
  </sheetData>
  <conditionalFormatting sqref="G2:G21">
    <cfRule type="expression" dxfId="5" priority="1">
      <formula>SEARCH("In-Progress", G2)</formula>
    </cfRule>
    <cfRule type="expression" dxfId="4" priority="2">
      <formula>SEARCH("Incomplete", G2)</formula>
    </cfRule>
    <cfRule type="expression" dxfId="3" priority="3">
      <formula>SEARCH("Completed", G2)</formula>
    </cfRule>
  </conditionalFormatting>
  <dataValidations count="1">
    <dataValidation type="list" allowBlank="1" showInputMessage="1" showErrorMessage="1" sqref="G2:G21" xr:uid="{00000000-0002-0000-1300-000000000000}">
      <formula1>"Completed, Incomplete, In-Progress"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31"/>
  <sheetViews>
    <sheetView workbookViewId="0">
      <selection activeCell="B2" sqref="B2:B4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11" bestFit="1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7" t="s">
        <v>7</v>
      </c>
      <c r="C2" s="8"/>
      <c r="D2" s="9"/>
      <c r="E2" s="9">
        <v>1.388888888888889E-2</v>
      </c>
      <c r="F2" s="10">
        <v>1.388888888888889E-2</v>
      </c>
      <c r="G2" s="139" t="s">
        <v>155</v>
      </c>
      <c r="I2" s="39" t="s">
        <v>8</v>
      </c>
    </row>
    <row r="3" spans="1:9" x14ac:dyDescent="0.25">
      <c r="A3" s="6">
        <f t="shared" si="0"/>
        <v>2</v>
      </c>
      <c r="B3" s="12" t="s">
        <v>9</v>
      </c>
      <c r="C3" s="13"/>
      <c r="D3" s="10"/>
      <c r="E3" s="10">
        <v>1.7361111111111108E-2</v>
      </c>
      <c r="F3" s="10">
        <v>1.388888888888889E-2</v>
      </c>
      <c r="G3" s="139" t="s">
        <v>155</v>
      </c>
    </row>
    <row r="4" spans="1:9" x14ac:dyDescent="0.25">
      <c r="A4" s="6">
        <f t="shared" si="0"/>
        <v>3</v>
      </c>
      <c r="B4" s="14" t="s">
        <v>289</v>
      </c>
      <c r="C4" s="13"/>
      <c r="D4" s="10"/>
      <c r="E4" s="10"/>
      <c r="F4" s="10">
        <v>1.388888888888889E-2</v>
      </c>
      <c r="G4" s="139" t="s">
        <v>155</v>
      </c>
    </row>
    <row r="5" spans="1:9" x14ac:dyDescent="0.25">
      <c r="A5" s="6">
        <f t="shared" si="0"/>
        <v>4</v>
      </c>
      <c r="B5" s="12" t="s">
        <v>290</v>
      </c>
      <c r="C5" s="13"/>
      <c r="D5" s="10"/>
      <c r="E5" s="10"/>
      <c r="F5" s="10">
        <f t="shared" ref="F5:F21" si="1">D5-C5</f>
        <v>0</v>
      </c>
      <c r="G5" s="139" t="s">
        <v>165</v>
      </c>
    </row>
    <row r="6" spans="1:9" x14ac:dyDescent="0.25">
      <c r="A6" s="6">
        <f t="shared" si="0"/>
        <v>5</v>
      </c>
      <c r="B6" s="12" t="s">
        <v>291</v>
      </c>
      <c r="C6" s="13">
        <v>0.52222222222222225</v>
      </c>
      <c r="D6" s="10"/>
      <c r="E6" s="10"/>
      <c r="F6" s="10">
        <f t="shared" si="1"/>
        <v>-0.52222222222222225</v>
      </c>
      <c r="G6" s="139"/>
    </row>
    <row r="7" spans="1:9" x14ac:dyDescent="0.25">
      <c r="A7" s="6">
        <f t="shared" si="0"/>
        <v>6</v>
      </c>
      <c r="B7" s="12" t="s">
        <v>292</v>
      </c>
      <c r="C7" s="13"/>
      <c r="D7" s="10"/>
      <c r="E7" s="10"/>
      <c r="F7" s="10">
        <f t="shared" si="1"/>
        <v>0</v>
      </c>
      <c r="G7" s="139"/>
    </row>
    <row r="8" spans="1:9" x14ac:dyDescent="0.25">
      <c r="A8" s="6">
        <f t="shared" si="0"/>
        <v>7</v>
      </c>
      <c r="B8" s="12" t="s">
        <v>293</v>
      </c>
      <c r="C8" s="13"/>
      <c r="D8" s="10"/>
      <c r="E8" s="10"/>
      <c r="F8" s="13">
        <f t="shared" si="1"/>
        <v>0</v>
      </c>
      <c r="G8" s="139"/>
    </row>
    <row r="9" spans="1:9" x14ac:dyDescent="0.25">
      <c r="A9" s="6">
        <f t="shared" si="0"/>
        <v>8</v>
      </c>
      <c r="B9" s="12"/>
      <c r="C9" s="13"/>
      <c r="D9" s="10"/>
      <c r="E9" s="10"/>
      <c r="F9" s="10">
        <f t="shared" si="1"/>
        <v>0</v>
      </c>
      <c r="G9" s="139"/>
    </row>
    <row r="10" spans="1:9" x14ac:dyDescent="0.25">
      <c r="A10" s="6">
        <f t="shared" si="0"/>
        <v>9</v>
      </c>
      <c r="B10" s="12"/>
      <c r="C10" s="13"/>
      <c r="D10" s="10"/>
      <c r="E10" s="10"/>
      <c r="F10" s="10">
        <f t="shared" si="1"/>
        <v>0</v>
      </c>
      <c r="G10" s="139"/>
    </row>
    <row r="11" spans="1:9" x14ac:dyDescent="0.25">
      <c r="A11" s="6">
        <f t="shared" si="0"/>
        <v>10</v>
      </c>
      <c r="B11" s="12"/>
      <c r="C11" s="13"/>
      <c r="D11" s="15"/>
      <c r="E11" s="15"/>
      <c r="F11" s="10">
        <f t="shared" si="1"/>
        <v>0</v>
      </c>
      <c r="G11" s="139"/>
    </row>
    <row r="12" spans="1:9" x14ac:dyDescent="0.25">
      <c r="A12" s="6">
        <f t="shared" si="0"/>
        <v>11</v>
      </c>
      <c r="B12" s="12"/>
      <c r="C12" s="13"/>
      <c r="D12" s="15"/>
      <c r="E12" s="15"/>
      <c r="F12" s="10">
        <f t="shared" si="1"/>
        <v>0</v>
      </c>
      <c r="G12" s="139"/>
    </row>
    <row r="13" spans="1:9" x14ac:dyDescent="0.25">
      <c r="A13" s="6">
        <f t="shared" si="0"/>
        <v>12</v>
      </c>
      <c r="B13" s="12"/>
      <c r="C13" s="13"/>
      <c r="D13" s="15"/>
      <c r="E13" s="15"/>
      <c r="F13" s="10">
        <f t="shared" si="1"/>
        <v>0</v>
      </c>
      <c r="G13" s="139"/>
    </row>
    <row r="14" spans="1:9" x14ac:dyDescent="0.25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39"/>
    </row>
    <row r="15" spans="1:9" x14ac:dyDescent="0.25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39"/>
    </row>
    <row r="16" spans="1:9" x14ac:dyDescent="0.25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39"/>
    </row>
    <row r="17" spans="1:7" x14ac:dyDescent="0.25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39"/>
    </row>
    <row r="18" spans="1:7" x14ac:dyDescent="0.25">
      <c r="A18" s="6">
        <f t="shared" si="0"/>
        <v>17</v>
      </c>
      <c r="B18" s="12" t="s">
        <v>12</v>
      </c>
      <c r="C18" s="13"/>
      <c r="D18" s="15"/>
      <c r="E18" s="15"/>
      <c r="F18" s="10">
        <f t="shared" si="1"/>
        <v>0</v>
      </c>
      <c r="G18" s="139"/>
    </row>
    <row r="19" spans="1:7" x14ac:dyDescent="0.25">
      <c r="A19" s="6">
        <f t="shared" si="0"/>
        <v>18</v>
      </c>
      <c r="B19" s="12" t="s">
        <v>13</v>
      </c>
      <c r="C19" s="13"/>
      <c r="D19" s="15"/>
      <c r="E19" s="15"/>
      <c r="F19" s="10">
        <f t="shared" si="1"/>
        <v>0</v>
      </c>
      <c r="G19" s="139"/>
    </row>
    <row r="20" spans="1:7" x14ac:dyDescent="0.25">
      <c r="A20" s="6">
        <f t="shared" si="0"/>
        <v>19</v>
      </c>
      <c r="B20" s="12" t="s">
        <v>14</v>
      </c>
      <c r="C20" s="13"/>
      <c r="D20" s="15"/>
      <c r="E20" s="15"/>
      <c r="F20" s="10">
        <f t="shared" si="1"/>
        <v>0</v>
      </c>
      <c r="G20" s="139"/>
    </row>
    <row r="21" spans="1:7" ht="15" customHeight="1" thickBot="1" x14ac:dyDescent="0.3">
      <c r="A21" s="6">
        <f t="shared" si="0"/>
        <v>20</v>
      </c>
      <c r="B21" s="12" t="s">
        <v>15</v>
      </c>
      <c r="C21" s="16"/>
      <c r="D21" s="17"/>
      <c r="E21" s="15"/>
      <c r="F21" s="10">
        <f t="shared" si="1"/>
        <v>0</v>
      </c>
      <c r="G21" s="139"/>
    </row>
    <row r="22" spans="1:7" ht="15" customHeight="1" thickBot="1" x14ac:dyDescent="0.3">
      <c r="A22" s="18"/>
      <c r="B22" s="19" t="s">
        <v>16</v>
      </c>
      <c r="C22" s="20"/>
      <c r="D22" s="20"/>
      <c r="E22" s="21"/>
      <c r="F22" s="22">
        <f>SUM(F2:F21)</f>
        <v>-0.48055555555555557</v>
      </c>
      <c r="G22" s="23"/>
    </row>
    <row r="29" spans="1:7" x14ac:dyDescent="0.25">
      <c r="C29" s="29"/>
    </row>
    <row r="30" spans="1:7" x14ac:dyDescent="0.25">
      <c r="C30" s="29"/>
    </row>
    <row r="31" spans="1:7" x14ac:dyDescent="0.25">
      <c r="C31" s="29"/>
    </row>
  </sheetData>
  <conditionalFormatting sqref="G2:G21">
    <cfRule type="expression" dxfId="2" priority="1">
      <formula>SEARCH("In-Progress", G2)</formula>
    </cfRule>
    <cfRule type="expression" dxfId="1" priority="2">
      <formula>SEARCH("Incomplete", G2)</formula>
    </cfRule>
    <cfRule type="expression" dxfId="0" priority="3">
      <formula>SEARCH("Completed", G2)</formula>
    </cfRule>
  </conditionalFormatting>
  <dataValidations count="1">
    <dataValidation type="list" allowBlank="1" showInputMessage="1" showErrorMessage="1" sqref="G2:G21" xr:uid="{00000000-0002-0000-1400-000000000000}">
      <formula1>"Completed, Incomplete, In-Progress"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35"/>
  <sheetViews>
    <sheetView topLeftCell="A13" workbookViewId="0">
      <selection activeCell="H18" sqref="H18"/>
    </sheetView>
  </sheetViews>
  <sheetFormatPr defaultRowHeight="15" x14ac:dyDescent="0.25"/>
  <cols>
    <col min="1" max="1" width="6.5703125" bestFit="1" customWidth="1"/>
    <col min="2" max="2" width="18.7109375" bestFit="1" customWidth="1"/>
    <col min="3" max="5" width="30.7109375" style="136" customWidth="1"/>
    <col min="6" max="6" width="64.7109375" customWidth="1"/>
  </cols>
  <sheetData>
    <row r="1" spans="1:6" ht="15" customHeight="1" thickBot="1" x14ac:dyDescent="0.3">
      <c r="A1" s="147" t="s">
        <v>17</v>
      </c>
      <c r="B1" s="148" t="s">
        <v>1</v>
      </c>
      <c r="C1" s="149" t="s">
        <v>157</v>
      </c>
      <c r="D1" s="149" t="s">
        <v>294</v>
      </c>
    </row>
    <row r="2" spans="1:6" ht="43.15" customHeight="1" x14ac:dyDescent="0.25">
      <c r="A2" s="150">
        <v>1</v>
      </c>
      <c r="B2" s="151" t="s">
        <v>295</v>
      </c>
      <c r="C2" s="152" t="s">
        <v>296</v>
      </c>
      <c r="D2" s="153" t="s">
        <v>297</v>
      </c>
    </row>
    <row r="3" spans="1:6" ht="43.15" customHeight="1" x14ac:dyDescent="0.25">
      <c r="A3" s="154">
        <v>2</v>
      </c>
      <c r="B3" s="155" t="s">
        <v>298</v>
      </c>
      <c r="C3" s="156" t="s">
        <v>296</v>
      </c>
      <c r="D3" s="157" t="s">
        <v>299</v>
      </c>
    </row>
    <row r="4" spans="1:6" ht="30" customHeight="1" x14ac:dyDescent="0.25">
      <c r="A4" s="154">
        <v>3</v>
      </c>
      <c r="B4" s="155" t="s">
        <v>300</v>
      </c>
      <c r="C4" s="157" t="s">
        <v>301</v>
      </c>
      <c r="D4" s="157" t="s">
        <v>302</v>
      </c>
    </row>
    <row r="5" spans="1:6" x14ac:dyDescent="0.25">
      <c r="A5" s="154">
        <v>4</v>
      </c>
      <c r="B5" s="155" t="s">
        <v>303</v>
      </c>
      <c r="C5" s="156" t="s">
        <v>296</v>
      </c>
      <c r="D5" s="157" t="s">
        <v>304</v>
      </c>
    </row>
    <row r="6" spans="1:6" x14ac:dyDescent="0.25">
      <c r="A6" s="154">
        <v>5</v>
      </c>
      <c r="B6" s="155" t="s">
        <v>305</v>
      </c>
      <c r="C6" s="156" t="s">
        <v>296</v>
      </c>
      <c r="D6" s="156" t="s">
        <v>296</v>
      </c>
    </row>
    <row r="7" spans="1:6" ht="15" customHeight="1" x14ac:dyDescent="0.25">
      <c r="A7" s="154">
        <v>6</v>
      </c>
      <c r="B7" s="155" t="s">
        <v>306</v>
      </c>
      <c r="C7" s="157" t="s">
        <v>307</v>
      </c>
      <c r="D7" s="157" t="s">
        <v>302</v>
      </c>
    </row>
    <row r="8" spans="1:6" ht="15" customHeight="1" thickBot="1" x14ac:dyDescent="0.3">
      <c r="A8" s="158">
        <v>7</v>
      </c>
      <c r="B8" s="159" t="s">
        <v>308</v>
      </c>
      <c r="C8" s="156" t="s">
        <v>296</v>
      </c>
      <c r="D8" s="160" t="s">
        <v>309</v>
      </c>
    </row>
    <row r="14" spans="1:6" ht="15" customHeight="1" thickBot="1" x14ac:dyDescent="0.3"/>
    <row r="15" spans="1:6" ht="29.45" customHeight="1" thickBot="1" x14ac:dyDescent="0.3">
      <c r="A15" s="147" t="s">
        <v>17</v>
      </c>
      <c r="B15" s="141" t="s">
        <v>310</v>
      </c>
      <c r="C15" s="142" t="s">
        <v>311</v>
      </c>
      <c r="D15" s="147" t="s">
        <v>157</v>
      </c>
      <c r="E15" s="161" t="s">
        <v>294</v>
      </c>
      <c r="F15" s="147" t="s">
        <v>312</v>
      </c>
    </row>
    <row r="16" spans="1:6" x14ac:dyDescent="0.25">
      <c r="A16" s="150">
        <v>1</v>
      </c>
      <c r="B16" s="187" t="s">
        <v>313</v>
      </c>
      <c r="C16" s="143" t="s">
        <v>314</v>
      </c>
      <c r="D16" s="202" t="s">
        <v>314</v>
      </c>
      <c r="E16" s="163"/>
      <c r="F16" s="162"/>
    </row>
    <row r="17" spans="1:8" x14ac:dyDescent="0.25">
      <c r="A17" s="154">
        <v>2</v>
      </c>
      <c r="B17" s="144" t="s">
        <v>315</v>
      </c>
      <c r="C17" s="145" t="s">
        <v>316</v>
      </c>
      <c r="D17" s="185" t="s">
        <v>317</v>
      </c>
      <c r="E17" s="165"/>
      <c r="F17" s="164" t="s">
        <v>316</v>
      </c>
    </row>
    <row r="18" spans="1:8" ht="28.9" customHeight="1" x14ac:dyDescent="0.25">
      <c r="A18" s="154">
        <v>3</v>
      </c>
      <c r="B18" s="144" t="s">
        <v>318</v>
      </c>
      <c r="C18" s="145">
        <v>11</v>
      </c>
      <c r="D18" s="181" t="s">
        <v>319</v>
      </c>
      <c r="E18" s="165"/>
      <c r="F18" s="164" t="s">
        <v>320</v>
      </c>
      <c r="G18" s="180" t="s">
        <v>321</v>
      </c>
      <c r="H18" s="180" t="s">
        <v>322</v>
      </c>
    </row>
    <row r="19" spans="1:8" x14ac:dyDescent="0.25">
      <c r="A19" s="154">
        <v>4</v>
      </c>
      <c r="B19" s="144" t="s">
        <v>323</v>
      </c>
      <c r="C19" s="145">
        <v>200.18</v>
      </c>
      <c r="D19" s="181">
        <v>200.18</v>
      </c>
      <c r="E19" s="165"/>
      <c r="F19" s="164">
        <v>200.11</v>
      </c>
    </row>
    <row r="20" spans="1:8" x14ac:dyDescent="0.25">
      <c r="A20" s="150">
        <v>5</v>
      </c>
      <c r="B20" s="144" t="s">
        <v>324</v>
      </c>
      <c r="C20" s="145" t="s">
        <v>325</v>
      </c>
      <c r="D20" s="181" t="s">
        <v>325</v>
      </c>
      <c r="E20" s="165"/>
      <c r="F20" s="164" t="s">
        <v>325</v>
      </c>
    </row>
    <row r="21" spans="1:8" x14ac:dyDescent="0.25">
      <c r="A21" s="154">
        <v>6</v>
      </c>
      <c r="B21" s="183" t="s">
        <v>326</v>
      </c>
      <c r="C21" s="145" t="s">
        <v>327</v>
      </c>
      <c r="D21" s="181" t="s">
        <v>328</v>
      </c>
      <c r="E21" s="165"/>
      <c r="F21" s="164"/>
    </row>
    <row r="22" spans="1:8" x14ac:dyDescent="0.25">
      <c r="A22" s="154">
        <v>7</v>
      </c>
      <c r="B22" s="144" t="s">
        <v>329</v>
      </c>
      <c r="C22" s="145" t="s">
        <v>330</v>
      </c>
      <c r="D22" s="204" t="s">
        <v>331</v>
      </c>
      <c r="E22" s="165"/>
      <c r="F22" s="164"/>
    </row>
    <row r="23" spans="1:8" x14ac:dyDescent="0.25">
      <c r="A23" s="154">
        <v>8</v>
      </c>
      <c r="B23" s="183" t="s">
        <v>332</v>
      </c>
      <c r="C23" s="145" t="s">
        <v>333</v>
      </c>
      <c r="D23" s="181" t="s">
        <v>333</v>
      </c>
      <c r="E23" s="165"/>
      <c r="F23" s="145" t="s">
        <v>333</v>
      </c>
    </row>
    <row r="24" spans="1:8" ht="28.9" customHeight="1" x14ac:dyDescent="0.25">
      <c r="A24" s="150">
        <v>9</v>
      </c>
      <c r="B24" s="144" t="s">
        <v>334</v>
      </c>
      <c r="C24" s="145" t="s">
        <v>335</v>
      </c>
      <c r="D24" s="185" t="s">
        <v>335</v>
      </c>
      <c r="E24" s="165"/>
      <c r="F24" s="164" t="s">
        <v>336</v>
      </c>
    </row>
    <row r="25" spans="1:8" ht="28.9" customHeight="1" x14ac:dyDescent="0.25">
      <c r="A25" s="154">
        <v>10</v>
      </c>
      <c r="B25" s="144" t="s">
        <v>337</v>
      </c>
      <c r="C25" s="145" t="s">
        <v>338</v>
      </c>
      <c r="D25" s="185" t="s">
        <v>338</v>
      </c>
      <c r="E25" s="165"/>
      <c r="F25" s="164" t="s">
        <v>336</v>
      </c>
    </row>
    <row r="26" spans="1:8" ht="15" customHeight="1" thickBot="1" x14ac:dyDescent="0.3">
      <c r="A26" s="158">
        <v>11</v>
      </c>
      <c r="B26" s="184" t="s">
        <v>339</v>
      </c>
      <c r="C26" s="146" t="s">
        <v>340</v>
      </c>
      <c r="D26" s="206" t="s">
        <v>341</v>
      </c>
      <c r="E26" s="166"/>
      <c r="F26" s="146" t="s">
        <v>342</v>
      </c>
    </row>
    <row r="27" spans="1:8" x14ac:dyDescent="0.25">
      <c r="B27" s="182" t="s">
        <v>343</v>
      </c>
      <c r="D27" s="205" t="s">
        <v>344</v>
      </c>
    </row>
    <row r="28" spans="1:8" ht="30" customHeight="1" x14ac:dyDescent="0.25">
      <c r="B28" s="182" t="s">
        <v>345</v>
      </c>
      <c r="D28" s="203" t="s">
        <v>346</v>
      </c>
    </row>
    <row r="29" spans="1:8" x14ac:dyDescent="0.25">
      <c r="B29" s="182" t="s">
        <v>347</v>
      </c>
      <c r="D29" s="186" t="s">
        <v>348</v>
      </c>
    </row>
    <row r="30" spans="1:8" x14ac:dyDescent="0.25">
      <c r="B30" s="182" t="s">
        <v>349</v>
      </c>
      <c r="D30" s="186" t="s">
        <v>350</v>
      </c>
    </row>
    <row r="31" spans="1:8" x14ac:dyDescent="0.25">
      <c r="B31" s="188" t="s">
        <v>351</v>
      </c>
      <c r="D31" s="186" t="s">
        <v>333</v>
      </c>
    </row>
    <row r="34" spans="2:5" ht="15" customHeight="1" thickBot="1" x14ac:dyDescent="0.3">
      <c r="B34" s="194" t="s">
        <v>313</v>
      </c>
      <c r="C34" s="195" t="s">
        <v>332</v>
      </c>
      <c r="D34" s="196" t="s">
        <v>339</v>
      </c>
      <c r="E34" s="197" t="s">
        <v>351</v>
      </c>
    </row>
    <row r="35" spans="2:5" x14ac:dyDescent="0.25">
      <c r="B35" s="40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13"/>
  <sheetViews>
    <sheetView workbookViewId="0">
      <selection activeCell="A22" sqref="A22"/>
    </sheetView>
  </sheetViews>
  <sheetFormatPr defaultRowHeight="15" x14ac:dyDescent="0.25"/>
  <cols>
    <col min="1" max="1" width="27.140625" bestFit="1" customWidth="1"/>
    <col min="2" max="2" width="114.85546875" bestFit="1" customWidth="1"/>
  </cols>
  <sheetData>
    <row r="1" spans="1:2" x14ac:dyDescent="0.25">
      <c r="A1" s="63" t="s">
        <v>352</v>
      </c>
      <c r="B1" s="63" t="s">
        <v>353</v>
      </c>
    </row>
    <row r="2" spans="1:2" x14ac:dyDescent="0.25">
      <c r="A2" s="63" t="s">
        <v>354</v>
      </c>
      <c r="B2" s="63" t="s">
        <v>355</v>
      </c>
    </row>
    <row r="3" spans="1:2" x14ac:dyDescent="0.25">
      <c r="A3" s="63" t="s">
        <v>356</v>
      </c>
      <c r="B3" s="63" t="s">
        <v>357</v>
      </c>
    </row>
    <row r="4" spans="1:2" x14ac:dyDescent="0.25">
      <c r="A4" s="63" t="s">
        <v>358</v>
      </c>
      <c r="B4" s="63" t="s">
        <v>359</v>
      </c>
    </row>
    <row r="5" spans="1:2" x14ac:dyDescent="0.25">
      <c r="A5" s="252" t="s">
        <v>360</v>
      </c>
      <c r="B5" s="254" t="s">
        <v>361</v>
      </c>
    </row>
    <row r="6" spans="1:2" x14ac:dyDescent="0.25">
      <c r="A6" s="253"/>
      <c r="B6" s="253"/>
    </row>
    <row r="7" spans="1:2" ht="30" customHeight="1" x14ac:dyDescent="0.25">
      <c r="A7" s="63" t="s">
        <v>362</v>
      </c>
      <c r="B7" s="63" t="s">
        <v>363</v>
      </c>
    </row>
    <row r="8" spans="1:2" x14ac:dyDescent="0.25">
      <c r="A8" s="252" t="s">
        <v>364</v>
      </c>
      <c r="B8" s="63" t="s">
        <v>365</v>
      </c>
    </row>
    <row r="9" spans="1:2" x14ac:dyDescent="0.25">
      <c r="A9" s="253"/>
      <c r="B9" s="63" t="s">
        <v>366</v>
      </c>
    </row>
    <row r="10" spans="1:2" x14ac:dyDescent="0.25">
      <c r="A10" s="253"/>
      <c r="B10" s="63" t="s">
        <v>367</v>
      </c>
    </row>
    <row r="11" spans="1:2" ht="30" customHeight="1" x14ac:dyDescent="0.25">
      <c r="A11" s="63" t="s">
        <v>368</v>
      </c>
      <c r="B11" s="63" t="s">
        <v>369</v>
      </c>
    </row>
    <row r="12" spans="1:2" x14ac:dyDescent="0.25">
      <c r="A12" s="63" t="s">
        <v>370</v>
      </c>
      <c r="B12" s="63" t="s">
        <v>371</v>
      </c>
    </row>
    <row r="13" spans="1:2" ht="30" customHeight="1" x14ac:dyDescent="0.25">
      <c r="A13" s="63" t="s">
        <v>372</v>
      </c>
      <c r="B13" s="63" t="s">
        <v>373</v>
      </c>
    </row>
  </sheetData>
  <mergeCells count="3">
    <mergeCell ref="A5:A6"/>
    <mergeCell ref="B5:B6"/>
    <mergeCell ref="A8:A1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3"/>
  <sheetViews>
    <sheetView workbookViewId="0">
      <selection activeCell="C2" sqref="C2"/>
    </sheetView>
  </sheetViews>
  <sheetFormatPr defaultRowHeight="15" x14ac:dyDescent="0.25"/>
  <cols>
    <col min="1" max="1" width="4.140625" customWidth="1"/>
    <col min="2" max="2" width="50" bestFit="1" customWidth="1"/>
    <col min="3" max="3" width="19.42578125" customWidth="1"/>
    <col min="4" max="4" width="19.85546875" customWidth="1"/>
  </cols>
  <sheetData>
    <row r="1" spans="1:4" ht="15.75" customHeight="1" thickBot="1" x14ac:dyDescent="0.3"/>
    <row r="2" spans="1:4" ht="30.75" customHeight="1" thickBot="1" x14ac:dyDescent="0.3">
      <c r="A2" s="208" t="s">
        <v>17</v>
      </c>
      <c r="B2" s="209" t="s">
        <v>374</v>
      </c>
      <c r="C2" s="210" t="s">
        <v>375</v>
      </c>
      <c r="D2" s="210" t="s">
        <v>376</v>
      </c>
    </row>
    <row r="3" spans="1:4" ht="30" customHeight="1" x14ac:dyDescent="0.25">
      <c r="A3" s="211">
        <v>1</v>
      </c>
      <c r="B3" s="212" t="s">
        <v>377</v>
      </c>
      <c r="C3" s="215" t="s">
        <v>378</v>
      </c>
      <c r="D3" s="213" t="s">
        <v>379</v>
      </c>
    </row>
    <row r="4" spans="1:4" x14ac:dyDescent="0.25">
      <c r="A4" s="211">
        <v>4</v>
      </c>
      <c r="B4" s="212" t="s">
        <v>380</v>
      </c>
      <c r="C4" s="215" t="s">
        <v>381</v>
      </c>
      <c r="D4" s="214" t="s">
        <v>382</v>
      </c>
    </row>
    <row r="5" spans="1:4" x14ac:dyDescent="0.25">
      <c r="A5" s="211">
        <v>5</v>
      </c>
      <c r="B5" s="212" t="s">
        <v>383</v>
      </c>
      <c r="C5" s="225" t="s">
        <v>296</v>
      </c>
      <c r="D5" s="217">
        <v>2069765</v>
      </c>
    </row>
    <row r="6" spans="1:4" x14ac:dyDescent="0.25">
      <c r="A6" s="211">
        <v>9</v>
      </c>
      <c r="B6" s="212" t="s">
        <v>384</v>
      </c>
      <c r="C6" s="225" t="s">
        <v>296</v>
      </c>
      <c r="D6" s="215" t="s">
        <v>385</v>
      </c>
    </row>
    <row r="7" spans="1:4" x14ac:dyDescent="0.25">
      <c r="A7" s="211">
        <v>13</v>
      </c>
      <c r="B7" s="212" t="s">
        <v>386</v>
      </c>
      <c r="C7" s="215" t="s">
        <v>378</v>
      </c>
      <c r="D7" s="215" t="s">
        <v>378</v>
      </c>
    </row>
    <row r="8" spans="1:4" ht="15.75" customHeight="1" thickBot="1" x14ac:dyDescent="0.3">
      <c r="A8" s="219">
        <v>27</v>
      </c>
      <c r="B8" s="212" t="s">
        <v>387</v>
      </c>
      <c r="C8" s="215" t="s">
        <v>378</v>
      </c>
      <c r="D8" s="216">
        <v>1013712</v>
      </c>
    </row>
    <row r="9" spans="1:4" x14ac:dyDescent="0.25">
      <c r="A9" s="211">
        <v>29</v>
      </c>
      <c r="B9" s="220" t="s">
        <v>388</v>
      </c>
      <c r="C9" s="221" t="s">
        <v>304</v>
      </c>
      <c r="D9" s="221"/>
    </row>
    <row r="10" spans="1:4" x14ac:dyDescent="0.25">
      <c r="A10" s="211">
        <v>30</v>
      </c>
      <c r="B10" s="220" t="s">
        <v>389</v>
      </c>
      <c r="C10" s="221" t="s">
        <v>304</v>
      </c>
      <c r="D10" s="221"/>
    </row>
    <row r="11" spans="1:4" x14ac:dyDescent="0.25">
      <c r="A11" s="211">
        <v>36</v>
      </c>
      <c r="B11" s="212" t="s">
        <v>390</v>
      </c>
      <c r="C11" t="s">
        <v>391</v>
      </c>
      <c r="D11" s="222" t="s">
        <v>392</v>
      </c>
    </row>
    <row r="12" spans="1:4" x14ac:dyDescent="0.25">
      <c r="A12" s="211">
        <v>37</v>
      </c>
      <c r="B12" s="212" t="s">
        <v>393</v>
      </c>
      <c r="C12" t="s">
        <v>391</v>
      </c>
      <c r="D12" s="222" t="s">
        <v>392</v>
      </c>
    </row>
    <row r="13" spans="1:4" x14ac:dyDescent="0.25">
      <c r="A13" s="211">
        <v>38</v>
      </c>
      <c r="B13" s="212" t="s">
        <v>394</v>
      </c>
      <c r="C13" t="s">
        <v>391</v>
      </c>
      <c r="D13" s="222" t="s">
        <v>392</v>
      </c>
    </row>
    <row r="14" spans="1:4" ht="15.75" customHeight="1" thickBot="1" x14ac:dyDescent="0.3">
      <c r="A14" s="219">
        <v>39</v>
      </c>
      <c r="B14" s="212" t="s">
        <v>395</v>
      </c>
      <c r="C14" t="s">
        <v>391</v>
      </c>
      <c r="D14" s="222" t="s">
        <v>392</v>
      </c>
    </row>
    <row r="15" spans="1:4" x14ac:dyDescent="0.25">
      <c r="A15" s="211">
        <v>40</v>
      </c>
      <c r="B15" s="220" t="s">
        <v>396</v>
      </c>
      <c r="C15" t="s">
        <v>391</v>
      </c>
      <c r="D15" s="222"/>
    </row>
    <row r="16" spans="1:4" x14ac:dyDescent="0.25">
      <c r="A16" s="211">
        <v>41</v>
      </c>
      <c r="B16" s="223" t="s">
        <v>397</v>
      </c>
      <c r="C16" t="s">
        <v>391</v>
      </c>
      <c r="D16" s="101" t="s">
        <v>398</v>
      </c>
    </row>
    <row r="17" spans="1:4" x14ac:dyDescent="0.25">
      <c r="A17" s="211">
        <v>42</v>
      </c>
      <c r="B17" s="212" t="s">
        <v>399</v>
      </c>
      <c r="C17" s="224" t="s">
        <v>400</v>
      </c>
      <c r="D17" s="224"/>
    </row>
    <row r="18" spans="1:4" ht="15.75" customHeight="1" thickBot="1" x14ac:dyDescent="0.3">
      <c r="A18" s="219">
        <v>43</v>
      </c>
      <c r="B18" s="212" t="s">
        <v>401</v>
      </c>
      <c r="C18" s="225" t="s">
        <v>296</v>
      </c>
      <c r="D18" s="222" t="s">
        <v>378</v>
      </c>
    </row>
    <row r="19" spans="1:4" x14ac:dyDescent="0.25">
      <c r="A19" s="211">
        <v>45</v>
      </c>
      <c r="B19" s="212" t="s">
        <v>402</v>
      </c>
      <c r="C19" s="225" t="s">
        <v>296</v>
      </c>
      <c r="D19" s="224"/>
    </row>
    <row r="20" spans="1:4" ht="15.75" customHeight="1" thickBot="1" x14ac:dyDescent="0.3">
      <c r="A20" s="219">
        <v>47</v>
      </c>
      <c r="B20" s="212" t="s">
        <v>403</v>
      </c>
      <c r="C20" s="222" t="s">
        <v>378</v>
      </c>
      <c r="D20" s="222" t="s">
        <v>378</v>
      </c>
    </row>
    <row r="21" spans="1:4" x14ac:dyDescent="0.25">
      <c r="A21" s="226">
        <v>50</v>
      </c>
      <c r="B21" s="207" t="s">
        <v>404</v>
      </c>
      <c r="C21" s="225" t="s">
        <v>296</v>
      </c>
      <c r="D21" s="221" t="s">
        <v>405</v>
      </c>
    </row>
    <row r="22" spans="1:4" x14ac:dyDescent="0.25">
      <c r="A22" s="226">
        <v>51</v>
      </c>
      <c r="B22" s="227" t="s">
        <v>406</v>
      </c>
      <c r="C22" s="218" t="s">
        <v>296</v>
      </c>
      <c r="D22" s="221" t="s">
        <v>407</v>
      </c>
    </row>
    <row r="23" spans="1:4" x14ac:dyDescent="0.25">
      <c r="A23" s="228">
        <v>52</v>
      </c>
      <c r="B23" s="229" t="s">
        <v>408</v>
      </c>
      <c r="C23" t="s">
        <v>391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16"/>
  <sheetViews>
    <sheetView workbookViewId="0">
      <selection activeCell="E19" sqref="E1:E19"/>
    </sheetView>
  </sheetViews>
  <sheetFormatPr defaultRowHeight="15" x14ac:dyDescent="0.25"/>
  <cols>
    <col min="1" max="1" width="6.5703125" bestFit="1" customWidth="1"/>
    <col min="2" max="2" width="9.42578125" bestFit="1" customWidth="1"/>
    <col min="3" max="3" width="7.5703125" bestFit="1" customWidth="1"/>
    <col min="9" max="9" width="9.5703125" bestFit="1" customWidth="1"/>
  </cols>
  <sheetData>
    <row r="1" spans="1:11" x14ac:dyDescent="0.25">
      <c r="A1" t="s">
        <v>17</v>
      </c>
      <c r="B1" t="s">
        <v>409</v>
      </c>
      <c r="C1" t="s">
        <v>410</v>
      </c>
      <c r="D1" t="s">
        <v>411</v>
      </c>
    </row>
    <row r="2" spans="1:11" x14ac:dyDescent="0.25">
      <c r="A2">
        <v>1</v>
      </c>
      <c r="B2" t="s">
        <v>412</v>
      </c>
      <c r="C2" t="s">
        <v>413</v>
      </c>
      <c r="D2" t="s">
        <v>414</v>
      </c>
    </row>
    <row r="3" spans="1:11" x14ac:dyDescent="0.25">
      <c r="A3">
        <v>2</v>
      </c>
      <c r="B3" t="s">
        <v>415</v>
      </c>
      <c r="C3" t="s">
        <v>416</v>
      </c>
      <c r="D3" t="s">
        <v>414</v>
      </c>
    </row>
    <row r="4" spans="1:11" x14ac:dyDescent="0.25">
      <c r="A4">
        <v>3</v>
      </c>
      <c r="B4" t="s">
        <v>417</v>
      </c>
      <c r="C4" t="s">
        <v>418</v>
      </c>
      <c r="D4" t="s">
        <v>414</v>
      </c>
    </row>
    <row r="5" spans="1:11" x14ac:dyDescent="0.25">
      <c r="A5">
        <v>4</v>
      </c>
      <c r="B5" t="s">
        <v>419</v>
      </c>
      <c r="C5" t="s">
        <v>420</v>
      </c>
      <c r="D5" s="118" t="s">
        <v>421</v>
      </c>
    </row>
    <row r="6" spans="1:11" x14ac:dyDescent="0.25">
      <c r="A6">
        <v>5</v>
      </c>
      <c r="B6" t="s">
        <v>422</v>
      </c>
      <c r="C6" t="s">
        <v>423</v>
      </c>
      <c r="D6" s="118" t="s">
        <v>421</v>
      </c>
    </row>
    <row r="7" spans="1:11" x14ac:dyDescent="0.25">
      <c r="A7">
        <v>6</v>
      </c>
      <c r="B7" t="s">
        <v>424</v>
      </c>
      <c r="C7" t="s">
        <v>425</v>
      </c>
      <c r="D7" t="s">
        <v>414</v>
      </c>
    </row>
    <row r="8" spans="1:11" x14ac:dyDescent="0.25">
      <c r="A8">
        <v>7</v>
      </c>
      <c r="B8" t="s">
        <v>426</v>
      </c>
      <c r="C8" t="s">
        <v>427</v>
      </c>
      <c r="D8" t="s">
        <v>414</v>
      </c>
    </row>
    <row r="9" spans="1:11" x14ac:dyDescent="0.25">
      <c r="A9">
        <v>8</v>
      </c>
      <c r="B9" t="s">
        <v>428</v>
      </c>
      <c r="C9" t="s">
        <v>429</v>
      </c>
      <c r="D9" t="s">
        <v>414</v>
      </c>
    </row>
    <row r="10" spans="1:11" x14ac:dyDescent="0.25">
      <c r="A10">
        <v>9</v>
      </c>
      <c r="B10" t="s">
        <v>430</v>
      </c>
      <c r="C10" t="s">
        <v>431</v>
      </c>
      <c r="D10" t="s">
        <v>414</v>
      </c>
    </row>
    <row r="11" spans="1:11" x14ac:dyDescent="0.25">
      <c r="A11">
        <v>10</v>
      </c>
      <c r="B11" t="s">
        <v>432</v>
      </c>
      <c r="C11" t="s">
        <v>433</v>
      </c>
      <c r="D11" t="s">
        <v>414</v>
      </c>
    </row>
    <row r="12" spans="1:11" x14ac:dyDescent="0.25">
      <c r="A12">
        <v>11</v>
      </c>
      <c r="B12" t="s">
        <v>434</v>
      </c>
      <c r="C12" t="s">
        <v>435</v>
      </c>
      <c r="D12" t="s">
        <v>414</v>
      </c>
    </row>
    <row r="13" spans="1:11" x14ac:dyDescent="0.25">
      <c r="A13">
        <v>12</v>
      </c>
      <c r="B13" t="s">
        <v>436</v>
      </c>
      <c r="C13" t="s">
        <v>437</v>
      </c>
      <c r="D13" t="s">
        <v>414</v>
      </c>
    </row>
    <row r="14" spans="1:11" x14ac:dyDescent="0.25">
      <c r="A14">
        <v>13</v>
      </c>
      <c r="B14" t="s">
        <v>312</v>
      </c>
      <c r="C14" t="s">
        <v>438</v>
      </c>
      <c r="D14" s="118" t="s">
        <v>421</v>
      </c>
      <c r="K14" s="198"/>
    </row>
    <row r="15" spans="1:11" x14ac:dyDescent="0.25">
      <c r="A15">
        <v>14</v>
      </c>
      <c r="B15" t="s">
        <v>157</v>
      </c>
      <c r="C15" t="s">
        <v>439</v>
      </c>
      <c r="D15" t="s">
        <v>421</v>
      </c>
      <c r="K15" s="198"/>
    </row>
    <row r="16" spans="1:11" x14ac:dyDescent="0.25">
      <c r="B16" t="s">
        <v>440</v>
      </c>
      <c r="C16" t="s">
        <v>441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12"/>
  <sheetViews>
    <sheetView workbookViewId="0">
      <selection activeCell="D8" sqref="D8"/>
    </sheetView>
  </sheetViews>
  <sheetFormatPr defaultColWidth="111.42578125" defaultRowHeight="15" x14ac:dyDescent="0.25"/>
  <cols>
    <col min="1" max="1" width="14.140625" bestFit="1" customWidth="1"/>
    <col min="2" max="2" width="19.7109375" bestFit="1" customWidth="1"/>
    <col min="3" max="3" width="40.140625" bestFit="1" customWidth="1"/>
  </cols>
  <sheetData>
    <row r="1" spans="1:3" ht="17.45" customHeight="1" thickBot="1" x14ac:dyDescent="0.3">
      <c r="A1" s="119" t="s">
        <v>442</v>
      </c>
      <c r="B1" s="120" t="s">
        <v>443</v>
      </c>
      <c r="C1" s="119" t="s">
        <v>444</v>
      </c>
    </row>
    <row r="2" spans="1:3" ht="16.899999999999999" customHeight="1" x14ac:dyDescent="0.25">
      <c r="A2" s="121" t="s">
        <v>412</v>
      </c>
      <c r="B2" s="115" t="s">
        <v>445</v>
      </c>
      <c r="C2" s="121" t="s">
        <v>446</v>
      </c>
    </row>
    <row r="3" spans="1:3" ht="16.899999999999999" customHeight="1" x14ac:dyDescent="0.25">
      <c r="A3" s="122" t="s">
        <v>415</v>
      </c>
      <c r="B3" s="116" t="s">
        <v>447</v>
      </c>
      <c r="C3" s="122" t="s">
        <v>446</v>
      </c>
    </row>
    <row r="4" spans="1:3" ht="16.899999999999999" customHeight="1" x14ac:dyDescent="0.25">
      <c r="A4" s="122" t="s">
        <v>417</v>
      </c>
      <c r="B4" s="116" t="s">
        <v>447</v>
      </c>
      <c r="C4" s="122" t="s">
        <v>446</v>
      </c>
    </row>
    <row r="5" spans="1:3" ht="16.899999999999999" customHeight="1" x14ac:dyDescent="0.25">
      <c r="A5" s="122" t="s">
        <v>419</v>
      </c>
      <c r="B5" s="116" t="s">
        <v>445</v>
      </c>
      <c r="C5" s="122" t="s">
        <v>446</v>
      </c>
    </row>
    <row r="6" spans="1:3" ht="16.899999999999999" customHeight="1" x14ac:dyDescent="0.25">
      <c r="A6" s="122" t="s">
        <v>422</v>
      </c>
      <c r="B6" s="116" t="s">
        <v>447</v>
      </c>
      <c r="C6" s="122" t="s">
        <v>446</v>
      </c>
    </row>
    <row r="7" spans="1:3" ht="16.899999999999999" customHeight="1" x14ac:dyDescent="0.25">
      <c r="A7" s="122" t="s">
        <v>424</v>
      </c>
      <c r="B7" s="116" t="s">
        <v>445</v>
      </c>
      <c r="C7" s="122" t="s">
        <v>446</v>
      </c>
    </row>
    <row r="8" spans="1:3" ht="16.899999999999999" customHeight="1" x14ac:dyDescent="0.25">
      <c r="A8" s="122" t="s">
        <v>426</v>
      </c>
      <c r="B8" s="116" t="s">
        <v>445</v>
      </c>
      <c r="C8" s="122" t="s">
        <v>446</v>
      </c>
    </row>
    <row r="9" spans="1:3" ht="16.899999999999999" customHeight="1" x14ac:dyDescent="0.25">
      <c r="A9" s="122" t="s">
        <v>428</v>
      </c>
      <c r="B9" s="116" t="s">
        <v>445</v>
      </c>
      <c r="C9" s="122" t="s">
        <v>446</v>
      </c>
    </row>
    <row r="10" spans="1:3" ht="16.899999999999999" customHeight="1" x14ac:dyDescent="0.25">
      <c r="A10" s="122" t="s">
        <v>430</v>
      </c>
      <c r="B10" s="116" t="s">
        <v>445</v>
      </c>
      <c r="C10" s="122" t="s">
        <v>446</v>
      </c>
    </row>
    <row r="11" spans="1:3" ht="16.899999999999999" customHeight="1" x14ac:dyDescent="0.25">
      <c r="A11" s="122" t="s">
        <v>432</v>
      </c>
      <c r="B11" s="116" t="s">
        <v>447</v>
      </c>
      <c r="C11" s="122" t="s">
        <v>446</v>
      </c>
    </row>
    <row r="12" spans="1:3" ht="17.45" customHeight="1" thickBot="1" x14ac:dyDescent="0.3">
      <c r="A12" s="123" t="s">
        <v>436</v>
      </c>
      <c r="B12" s="117" t="s">
        <v>445</v>
      </c>
      <c r="C12" s="123" t="s">
        <v>446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32"/>
  <sheetViews>
    <sheetView workbookViewId="0">
      <selection activeCell="A16" sqref="A16"/>
    </sheetView>
  </sheetViews>
  <sheetFormatPr defaultColWidth="33.28515625" defaultRowHeight="15" x14ac:dyDescent="0.25"/>
  <cols>
    <col min="2" max="3" width="7.28515625" bestFit="1" customWidth="1"/>
  </cols>
  <sheetData>
    <row r="1" spans="1:3" ht="16.899999999999999" customHeight="1" x14ac:dyDescent="0.25">
      <c r="A1" s="240" t="s">
        <v>448</v>
      </c>
      <c r="B1" s="241" t="s">
        <v>449</v>
      </c>
      <c r="C1" s="241" t="s">
        <v>450</v>
      </c>
    </row>
    <row r="2" spans="1:3" ht="16.899999999999999" customHeight="1" x14ac:dyDescent="0.25">
      <c r="A2" s="242" t="s">
        <v>451</v>
      </c>
      <c r="B2" s="241" t="s">
        <v>452</v>
      </c>
      <c r="C2" s="241"/>
    </row>
    <row r="3" spans="1:3" ht="16.899999999999999" customHeight="1" x14ac:dyDescent="0.25">
      <c r="A3" s="243" t="s">
        <v>453</v>
      </c>
      <c r="B3" s="241" t="s">
        <v>452</v>
      </c>
      <c r="C3" s="241"/>
    </row>
    <row r="4" spans="1:3" ht="16.899999999999999" customHeight="1" x14ac:dyDescent="0.25">
      <c r="A4" s="243" t="s">
        <v>454</v>
      </c>
      <c r="B4" s="241" t="s">
        <v>452</v>
      </c>
      <c r="C4" s="241"/>
    </row>
    <row r="5" spans="1:3" ht="16.899999999999999" customHeight="1" x14ac:dyDescent="0.25">
      <c r="A5" s="243" t="s">
        <v>455</v>
      </c>
      <c r="B5" s="241" t="s">
        <v>452</v>
      </c>
      <c r="C5" s="241"/>
    </row>
    <row r="6" spans="1:3" ht="16.899999999999999" customHeight="1" x14ac:dyDescent="0.25">
      <c r="A6" s="243" t="s">
        <v>456</v>
      </c>
      <c r="B6" s="241" t="s">
        <v>452</v>
      </c>
      <c r="C6" s="241"/>
    </row>
    <row r="7" spans="1:3" ht="16.899999999999999" customHeight="1" x14ac:dyDescent="0.25">
      <c r="A7" s="243" t="s">
        <v>457</v>
      </c>
      <c r="B7" s="241" t="s">
        <v>452</v>
      </c>
      <c r="C7" s="241"/>
    </row>
    <row r="8" spans="1:3" ht="16.899999999999999" customHeight="1" x14ac:dyDescent="0.25">
      <c r="A8" s="243" t="s">
        <v>458</v>
      </c>
      <c r="B8" s="241" t="s">
        <v>452</v>
      </c>
      <c r="C8" s="241"/>
    </row>
    <row r="9" spans="1:3" ht="16.899999999999999" customHeight="1" x14ac:dyDescent="0.25">
      <c r="A9" s="243" t="s">
        <v>459</v>
      </c>
      <c r="B9" s="241" t="s">
        <v>452</v>
      </c>
      <c r="C9" s="241"/>
    </row>
    <row r="10" spans="1:3" ht="16.899999999999999" customHeight="1" x14ac:dyDescent="0.25">
      <c r="A10" s="243" t="s">
        <v>460</v>
      </c>
      <c r="B10" s="241" t="s">
        <v>452</v>
      </c>
      <c r="C10" s="241"/>
    </row>
    <row r="11" spans="1:3" ht="16.899999999999999" customHeight="1" x14ac:dyDescent="0.25">
      <c r="A11" s="243" t="s">
        <v>461</v>
      </c>
      <c r="B11" s="241" t="s">
        <v>452</v>
      </c>
      <c r="C11" s="241"/>
    </row>
    <row r="12" spans="1:3" ht="16.899999999999999" customHeight="1" x14ac:dyDescent="0.25">
      <c r="A12" s="243" t="s">
        <v>462</v>
      </c>
      <c r="B12" s="241" t="s">
        <v>452</v>
      </c>
      <c r="C12" s="241"/>
    </row>
    <row r="13" spans="1:3" ht="16.899999999999999" customHeight="1" x14ac:dyDescent="0.25">
      <c r="A13" s="243" t="s">
        <v>463</v>
      </c>
      <c r="B13" s="241" t="s">
        <v>452</v>
      </c>
      <c r="C13" s="241"/>
    </row>
    <row r="14" spans="1:3" ht="16.899999999999999" customHeight="1" x14ac:dyDescent="0.25">
      <c r="A14" s="243" t="s">
        <v>464</v>
      </c>
      <c r="B14" s="241" t="s">
        <v>452</v>
      </c>
      <c r="C14" s="241"/>
    </row>
    <row r="15" spans="1:3" ht="16.899999999999999" customHeight="1" x14ac:dyDescent="0.25">
      <c r="A15" s="243" t="s">
        <v>465</v>
      </c>
      <c r="B15" s="241" t="s">
        <v>452</v>
      </c>
      <c r="C15" s="241"/>
    </row>
    <row r="16" spans="1:3" ht="16.899999999999999" customHeight="1" x14ac:dyDescent="0.25">
      <c r="A16" s="243" t="s">
        <v>466</v>
      </c>
      <c r="B16" s="241" t="s">
        <v>452</v>
      </c>
      <c r="C16" s="241"/>
    </row>
    <row r="17" spans="1:3" ht="16.899999999999999" customHeight="1" x14ac:dyDescent="0.25">
      <c r="A17" s="243" t="s">
        <v>467</v>
      </c>
      <c r="B17" s="241" t="s">
        <v>452</v>
      </c>
      <c r="C17" s="241"/>
    </row>
    <row r="18" spans="1:3" ht="16.899999999999999" customHeight="1" x14ac:dyDescent="0.25">
      <c r="A18" s="243" t="s">
        <v>468</v>
      </c>
      <c r="B18" s="241" t="s">
        <v>452</v>
      </c>
      <c r="C18" s="241"/>
    </row>
    <row r="19" spans="1:3" ht="16.899999999999999" customHeight="1" x14ac:dyDescent="0.25">
      <c r="A19" s="243" t="s">
        <v>469</v>
      </c>
      <c r="B19" s="241" t="s">
        <v>452</v>
      </c>
      <c r="C19" s="241"/>
    </row>
    <row r="20" spans="1:3" ht="16.899999999999999" customHeight="1" x14ac:dyDescent="0.25">
      <c r="A20" s="243" t="s">
        <v>470</v>
      </c>
      <c r="B20" s="241" t="s">
        <v>452</v>
      </c>
      <c r="C20" s="241"/>
    </row>
    <row r="21" spans="1:3" ht="16.899999999999999" customHeight="1" x14ac:dyDescent="0.25">
      <c r="A21" s="243" t="s">
        <v>471</v>
      </c>
      <c r="B21" s="241" t="s">
        <v>452</v>
      </c>
      <c r="C21" s="241"/>
    </row>
    <row r="22" spans="1:3" ht="16.899999999999999" customHeight="1" x14ac:dyDescent="0.25">
      <c r="A22" s="243" t="s">
        <v>472</v>
      </c>
      <c r="B22" s="241" t="s">
        <v>452</v>
      </c>
      <c r="C22" s="241"/>
    </row>
    <row r="23" spans="1:3" ht="16.899999999999999" customHeight="1" x14ac:dyDescent="0.25">
      <c r="A23" s="243" t="s">
        <v>473</v>
      </c>
      <c r="B23" s="241" t="s">
        <v>452</v>
      </c>
      <c r="C23" s="241"/>
    </row>
    <row r="24" spans="1:3" ht="16.899999999999999" customHeight="1" x14ac:dyDescent="0.25">
      <c r="A24" s="243" t="s">
        <v>474</v>
      </c>
      <c r="B24" s="241" t="s">
        <v>452</v>
      </c>
      <c r="C24" s="241"/>
    </row>
    <row r="25" spans="1:3" ht="16.899999999999999" customHeight="1" x14ac:dyDescent="0.25">
      <c r="A25" s="244" t="s">
        <v>475</v>
      </c>
      <c r="B25" s="241" t="s">
        <v>452</v>
      </c>
      <c r="C25" s="241"/>
    </row>
    <row r="26" spans="1:3" ht="16.899999999999999" customHeight="1" x14ac:dyDescent="0.25">
      <c r="A26" s="243" t="s">
        <v>476</v>
      </c>
      <c r="B26" s="241" t="s">
        <v>452</v>
      </c>
      <c r="C26" s="241"/>
    </row>
    <row r="27" spans="1:3" ht="16.899999999999999" customHeight="1" x14ac:dyDescent="0.25">
      <c r="A27" s="243" t="s">
        <v>477</v>
      </c>
      <c r="B27" s="241" t="s">
        <v>452</v>
      </c>
      <c r="C27" s="241"/>
    </row>
    <row r="28" spans="1:3" ht="16.899999999999999" customHeight="1" x14ac:dyDescent="0.25">
      <c r="A28" s="243" t="s">
        <v>478</v>
      </c>
      <c r="B28" s="241" t="s">
        <v>452</v>
      </c>
      <c r="C28" s="241"/>
    </row>
    <row r="30" spans="1:3" x14ac:dyDescent="0.25">
      <c r="A30" s="239"/>
    </row>
    <row r="31" spans="1:3" x14ac:dyDescent="0.25">
      <c r="A31" s="198"/>
    </row>
    <row r="32" spans="1:3" x14ac:dyDescent="0.25">
      <c r="A32" s="19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2"/>
  <sheetViews>
    <sheetView tabSelected="1" workbookViewId="0">
      <selection activeCell="C3" sqref="C3"/>
    </sheetView>
  </sheetViews>
  <sheetFormatPr defaultRowHeight="15" x14ac:dyDescent="0.25"/>
  <cols>
    <col min="1" max="1" width="6.7109375" bestFit="1" customWidth="1"/>
    <col min="2" max="2" width="56.7109375" customWidth="1"/>
    <col min="3" max="3" width="9.5703125" bestFit="1" customWidth="1"/>
    <col min="4" max="4" width="8.7109375" bestFit="1" customWidth="1"/>
    <col min="5" max="5" width="12.42578125" bestFit="1" customWidth="1"/>
    <col min="6" max="6" width="10.85546875" bestFit="1" customWidth="1"/>
    <col min="7" max="7" width="6.7109375" bestFit="1" customWidth="1"/>
  </cols>
  <sheetData>
    <row r="1" spans="1:9" ht="1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2" t="s">
        <v>6</v>
      </c>
    </row>
    <row r="2" spans="1:9" x14ac:dyDescent="0.25">
      <c r="A2" s="6">
        <f t="shared" ref="A2:A21" si="0">ROW() - ROW($A$1)</f>
        <v>1</v>
      </c>
      <c r="B2" s="189" t="s">
        <v>7</v>
      </c>
      <c r="C2" s="8">
        <v>0.39583333333333331</v>
      </c>
      <c r="D2" s="9"/>
      <c r="E2" s="9">
        <v>1.388888888888889E-2</v>
      </c>
      <c r="F2" s="10">
        <f t="shared" ref="F2:F21" si="1">D2-C2</f>
        <v>-0.39583333333333331</v>
      </c>
      <c r="G2" s="11"/>
      <c r="I2" s="39" t="s">
        <v>8</v>
      </c>
    </row>
    <row r="3" spans="1:9" x14ac:dyDescent="0.25">
      <c r="A3" s="6">
        <f t="shared" si="0"/>
        <v>2</v>
      </c>
      <c r="B3" s="99" t="s">
        <v>10</v>
      </c>
      <c r="C3" s="13"/>
      <c r="D3" s="10"/>
      <c r="E3" s="10">
        <v>1.7361111111111108E-2</v>
      </c>
      <c r="F3" s="10">
        <f t="shared" si="1"/>
        <v>0</v>
      </c>
      <c r="G3" s="11"/>
    </row>
    <row r="4" spans="1:9" x14ac:dyDescent="0.25">
      <c r="A4" s="6">
        <f t="shared" si="0"/>
        <v>3</v>
      </c>
      <c r="B4" s="190" t="s">
        <v>9</v>
      </c>
      <c r="C4" s="13"/>
      <c r="D4" s="10"/>
      <c r="E4" s="10">
        <v>6.9444444444444441E-3</v>
      </c>
      <c r="F4" s="10">
        <f t="shared" si="1"/>
        <v>0</v>
      </c>
      <c r="G4" s="11"/>
    </row>
    <row r="5" spans="1:9" x14ac:dyDescent="0.25">
      <c r="A5" s="6">
        <f t="shared" si="0"/>
        <v>4</v>
      </c>
      <c r="B5" s="99" t="s">
        <v>260</v>
      </c>
      <c r="C5" s="13"/>
      <c r="D5" s="10"/>
      <c r="E5" s="10">
        <v>4.1666666666666657E-2</v>
      </c>
      <c r="F5" s="10">
        <f t="shared" si="1"/>
        <v>0</v>
      </c>
      <c r="G5" s="11"/>
    </row>
    <row r="6" spans="1:9" x14ac:dyDescent="0.25">
      <c r="A6" s="6">
        <f t="shared" si="0"/>
        <v>5</v>
      </c>
      <c r="B6" s="99" t="s">
        <v>271</v>
      </c>
      <c r="C6" s="13"/>
      <c r="D6" s="10"/>
      <c r="E6" s="10"/>
      <c r="F6" s="10">
        <f t="shared" si="1"/>
        <v>0</v>
      </c>
      <c r="G6" s="11"/>
    </row>
    <row r="7" spans="1:9" x14ac:dyDescent="0.25">
      <c r="A7" s="6">
        <f t="shared" si="0"/>
        <v>6</v>
      </c>
      <c r="B7" s="99" t="s">
        <v>257</v>
      </c>
      <c r="C7" s="13"/>
      <c r="D7" s="10"/>
      <c r="E7" s="10"/>
      <c r="F7" s="10">
        <f t="shared" si="1"/>
        <v>0</v>
      </c>
      <c r="G7" s="11"/>
    </row>
    <row r="8" spans="1:9" x14ac:dyDescent="0.25">
      <c r="A8" s="6">
        <f t="shared" si="0"/>
        <v>7</v>
      </c>
      <c r="B8" s="99" t="s">
        <v>143</v>
      </c>
      <c r="C8" s="13"/>
      <c r="D8" s="10"/>
      <c r="E8" s="10"/>
      <c r="F8" s="13">
        <f t="shared" si="1"/>
        <v>0</v>
      </c>
      <c r="G8" s="11"/>
    </row>
    <row r="9" spans="1:9" x14ac:dyDescent="0.25">
      <c r="A9" s="6">
        <f t="shared" si="0"/>
        <v>8</v>
      </c>
      <c r="B9" s="12"/>
      <c r="C9" s="13"/>
      <c r="D9" s="10"/>
      <c r="E9" s="10"/>
      <c r="F9" s="10">
        <f t="shared" si="1"/>
        <v>0</v>
      </c>
      <c r="G9" s="11"/>
    </row>
    <row r="10" spans="1:9" x14ac:dyDescent="0.25">
      <c r="A10" s="6">
        <f t="shared" si="0"/>
        <v>9</v>
      </c>
      <c r="B10" s="12"/>
      <c r="C10" s="13"/>
      <c r="D10" s="10"/>
      <c r="E10" s="10"/>
      <c r="F10" s="10">
        <f t="shared" si="1"/>
        <v>0</v>
      </c>
      <c r="G10" s="11"/>
    </row>
    <row r="11" spans="1:9" x14ac:dyDescent="0.25">
      <c r="A11" s="6">
        <f t="shared" si="0"/>
        <v>10</v>
      </c>
      <c r="B11" s="12"/>
      <c r="C11" s="13"/>
      <c r="D11" s="15"/>
      <c r="E11" s="15"/>
      <c r="F11" s="10">
        <f t="shared" si="1"/>
        <v>0</v>
      </c>
      <c r="G11" s="11"/>
    </row>
    <row r="12" spans="1:9" x14ac:dyDescent="0.25">
      <c r="A12" s="6">
        <f t="shared" si="0"/>
        <v>11</v>
      </c>
      <c r="B12" s="12"/>
      <c r="C12" s="13"/>
      <c r="D12" s="15"/>
      <c r="E12" s="15"/>
      <c r="F12" s="10">
        <f t="shared" si="1"/>
        <v>0</v>
      </c>
      <c r="G12" s="11"/>
    </row>
    <row r="13" spans="1:9" x14ac:dyDescent="0.25">
      <c r="A13" s="6">
        <f t="shared" si="0"/>
        <v>12</v>
      </c>
      <c r="B13" s="12"/>
      <c r="C13" s="13"/>
      <c r="D13" s="15"/>
      <c r="E13" s="15"/>
      <c r="F13" s="10">
        <f t="shared" si="1"/>
        <v>0</v>
      </c>
      <c r="G13" s="11"/>
    </row>
    <row r="14" spans="1:9" x14ac:dyDescent="0.25">
      <c r="A14" s="6">
        <f t="shared" si="0"/>
        <v>13</v>
      </c>
      <c r="B14" s="12"/>
      <c r="C14" s="13"/>
      <c r="D14" s="15"/>
      <c r="E14" s="15"/>
      <c r="F14" s="10">
        <f t="shared" si="1"/>
        <v>0</v>
      </c>
      <c r="G14" s="11"/>
    </row>
    <row r="15" spans="1:9" x14ac:dyDescent="0.25">
      <c r="A15" s="6">
        <f t="shared" si="0"/>
        <v>14</v>
      </c>
      <c r="B15" s="12"/>
      <c r="C15" s="13"/>
      <c r="D15" s="15"/>
      <c r="E15" s="15"/>
      <c r="F15" s="10">
        <f t="shared" si="1"/>
        <v>0</v>
      </c>
      <c r="G15" s="11"/>
    </row>
    <row r="16" spans="1:9" x14ac:dyDescent="0.25">
      <c r="A16" s="6">
        <f t="shared" si="0"/>
        <v>15</v>
      </c>
      <c r="B16" s="12"/>
      <c r="C16" s="13"/>
      <c r="D16" s="15"/>
      <c r="E16" s="15"/>
      <c r="F16" s="10">
        <f t="shared" si="1"/>
        <v>0</v>
      </c>
      <c r="G16" s="11"/>
    </row>
    <row r="17" spans="1:7" x14ac:dyDescent="0.25">
      <c r="A17" s="6">
        <f t="shared" si="0"/>
        <v>16</v>
      </c>
      <c r="B17" s="12"/>
      <c r="C17" s="13"/>
      <c r="D17" s="15"/>
      <c r="E17" s="15"/>
      <c r="F17" s="10">
        <f t="shared" si="1"/>
        <v>0</v>
      </c>
      <c r="G17" s="11"/>
    </row>
    <row r="18" spans="1:7" x14ac:dyDescent="0.25">
      <c r="A18" s="6">
        <f t="shared" si="0"/>
        <v>17</v>
      </c>
      <c r="B18" s="12" t="s">
        <v>12</v>
      </c>
      <c r="C18" s="13"/>
      <c r="D18" s="15"/>
      <c r="E18" s="15"/>
      <c r="F18" s="10">
        <f t="shared" si="1"/>
        <v>0</v>
      </c>
      <c r="G18" s="11"/>
    </row>
    <row r="19" spans="1:7" x14ac:dyDescent="0.25">
      <c r="A19" s="6">
        <f t="shared" si="0"/>
        <v>18</v>
      </c>
      <c r="B19" s="12" t="s">
        <v>13</v>
      </c>
      <c r="C19" s="13"/>
      <c r="D19" s="15"/>
      <c r="E19" s="15"/>
      <c r="F19" s="10">
        <f t="shared" si="1"/>
        <v>0</v>
      </c>
      <c r="G19" s="11"/>
    </row>
    <row r="20" spans="1:7" x14ac:dyDescent="0.25">
      <c r="A20" s="6">
        <f t="shared" si="0"/>
        <v>19</v>
      </c>
      <c r="B20" s="12" t="s">
        <v>14</v>
      </c>
      <c r="C20" s="13"/>
      <c r="D20" s="15"/>
      <c r="E20" s="15"/>
      <c r="F20" s="10">
        <f t="shared" si="1"/>
        <v>0</v>
      </c>
      <c r="G20" s="11"/>
    </row>
    <row r="21" spans="1:7" ht="15" customHeight="1" thickBot="1" x14ac:dyDescent="0.3">
      <c r="A21" s="6">
        <f t="shared" si="0"/>
        <v>20</v>
      </c>
      <c r="B21" s="12" t="s">
        <v>15</v>
      </c>
      <c r="C21" s="16"/>
      <c r="D21" s="17"/>
      <c r="E21" s="15"/>
      <c r="F21" s="10">
        <f t="shared" si="1"/>
        <v>0</v>
      </c>
      <c r="G21" s="11"/>
    </row>
    <row r="22" spans="1:7" ht="15" customHeight="1" thickBot="1" x14ac:dyDescent="0.3">
      <c r="A22" s="18"/>
      <c r="B22" s="19" t="s">
        <v>16</v>
      </c>
      <c r="C22" s="20"/>
      <c r="D22" s="20"/>
      <c r="E22" s="21"/>
      <c r="F22" s="22">
        <f>SUM(F2:F21)</f>
        <v>-0.39583333333333331</v>
      </c>
      <c r="G22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day_month</vt:lpstr>
      <vt:lpstr>6th_January</vt:lpstr>
      <vt:lpstr>7th_January</vt:lpstr>
      <vt:lpstr>8th_January</vt:lpstr>
      <vt:lpstr>9th_January</vt:lpstr>
      <vt:lpstr>10th_January</vt:lpstr>
      <vt:lpstr>13th_January</vt:lpstr>
      <vt:lpstr>14th_January</vt:lpstr>
      <vt:lpstr>15th_January</vt:lpstr>
      <vt:lpstr>16th_January</vt:lpstr>
      <vt:lpstr>17th_January</vt:lpstr>
      <vt:lpstr>20th_January</vt:lpstr>
      <vt:lpstr>21st_January</vt:lpstr>
      <vt:lpstr>22nd_January</vt:lpstr>
      <vt:lpstr>24th_January</vt:lpstr>
      <vt:lpstr>23rd_January</vt:lpstr>
      <vt:lpstr>27th_January</vt:lpstr>
      <vt:lpstr>28th_January</vt:lpstr>
      <vt:lpstr>29th_January</vt:lpstr>
      <vt:lpstr>30th_January</vt:lpstr>
      <vt:lpstr>31st_January</vt:lpstr>
      <vt:lpstr>B14&amp;B15</vt:lpstr>
      <vt:lpstr>LogsReport</vt:lpstr>
      <vt:lpstr>Sheet1</vt:lpstr>
      <vt:lpstr>Admin Access</vt:lpstr>
      <vt:lpstr>SundaySanityStatus</vt:lpstr>
      <vt:lpstr>14_Exception_Handle_AZONE_AND_B</vt:lpstr>
      <vt:lpstr>3rd_February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2025-02-03T04:09:35Z</dcterms:modified>
</cp:coreProperties>
</file>