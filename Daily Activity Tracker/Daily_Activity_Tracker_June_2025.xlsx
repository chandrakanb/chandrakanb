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D967F72F-4B1B-44BA-907C-B0D6BFA70CDC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y_month" sheetId="1" r:id="rId1"/>
    <sheet name="5th_June" sheetId="2" r:id="rId2"/>
    <sheet name="6th_June" sheetId="3" r:id="rId3"/>
    <sheet name="9th_June" sheetId="4" r:id="rId4"/>
    <sheet name="11th_June" sheetId="5" r:id="rId5"/>
    <sheet name="3rd_Jul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6" l="1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C35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2" i="3"/>
  <c r="F21" i="3"/>
  <c r="A21" i="3"/>
  <c r="F20" i="3"/>
  <c r="A20" i="3"/>
  <c r="F19" i="3"/>
  <c r="A19" i="3"/>
  <c r="F18" i="3"/>
  <c r="A18" i="3"/>
  <c r="F17" i="3"/>
  <c r="A17" i="3"/>
  <c r="F16" i="3"/>
  <c r="A16" i="3"/>
  <c r="F15" i="3"/>
  <c r="A15" i="3"/>
  <c r="F14" i="3"/>
  <c r="A14" i="3"/>
  <c r="F13" i="3"/>
  <c r="A13" i="3"/>
  <c r="F12" i="3"/>
  <c r="A12" i="3"/>
  <c r="F11" i="3"/>
  <c r="A11" i="3"/>
  <c r="F10" i="3"/>
  <c r="A10" i="3"/>
  <c r="F9" i="3"/>
  <c r="A9" i="3"/>
  <c r="F8" i="3"/>
  <c r="A8" i="3"/>
  <c r="F7" i="3"/>
  <c r="A7" i="3"/>
  <c r="F6" i="3"/>
  <c r="A6" i="3"/>
  <c r="F5" i="3"/>
  <c r="A5" i="3"/>
  <c r="F4" i="3"/>
  <c r="A4" i="3"/>
  <c r="F3" i="3"/>
  <c r="A3" i="3"/>
  <c r="F2" i="3"/>
  <c r="A2" i="3"/>
  <c r="F22" i="2"/>
  <c r="F21" i="2"/>
  <c r="A21" i="2"/>
  <c r="F20" i="2"/>
  <c r="A20" i="2"/>
  <c r="F19" i="2"/>
  <c r="A19" i="2"/>
  <c r="F18" i="2"/>
  <c r="A18" i="2"/>
  <c r="F17" i="2"/>
  <c r="A17" i="2"/>
  <c r="F16" i="2"/>
  <c r="A16" i="2"/>
  <c r="F15" i="2"/>
  <c r="A15" i="2"/>
  <c r="F14" i="2"/>
  <c r="A14" i="2"/>
  <c r="F13" i="2"/>
  <c r="A13" i="2"/>
  <c r="F12" i="2"/>
  <c r="A12" i="2"/>
  <c r="F11" i="2"/>
  <c r="A11" i="2"/>
  <c r="F10" i="2"/>
  <c r="A10" i="2"/>
  <c r="F9" i="2"/>
  <c r="A9" i="2"/>
  <c r="F8" i="2"/>
  <c r="A8" i="2"/>
  <c r="F7" i="2"/>
  <c r="A7" i="2"/>
  <c r="F6" i="2"/>
  <c r="A6" i="2"/>
  <c r="F5" i="2"/>
  <c r="A5" i="2"/>
  <c r="F4" i="2"/>
  <c r="A4" i="2"/>
  <c r="F3" i="2"/>
  <c r="A3" i="2"/>
  <c r="F2" i="2"/>
  <c r="A2" i="2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22" i="6" l="1"/>
</calcChain>
</file>

<file path=xl/sharedStrings.xml><?xml version="1.0" encoding="utf-8"?>
<sst xmlns="http://schemas.openxmlformats.org/spreadsheetml/2006/main" count="214" uniqueCount="67">
  <si>
    <t>Sr. No.</t>
  </si>
  <si>
    <t>Task</t>
  </si>
  <si>
    <t>Priority</t>
  </si>
  <si>
    <t>Start Time</t>
  </si>
  <si>
    <t>End Time</t>
  </si>
  <si>
    <t>Total Time</t>
  </si>
  <si>
    <t>Status</t>
  </si>
  <si>
    <t>Notes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</si>
  <si>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</si>
  <si>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</si>
  <si>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</si>
  <si>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</si>
  <si>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</si>
  <si>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</si>
  <si>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</si>
  <si>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</si>
  <si>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</si>
  <si>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</si>
  <si>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</si>
  <si>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</si>
  <si>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</si>
  <si>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</si>
  <si>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</si>
  <si>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</si>
  <si>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</si>
  <si>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</si>
  <si>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</si>
  <si>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</si>
  <si>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 xml:space="preserve">Sr.No. </t>
  </si>
  <si>
    <t>Activity</t>
  </si>
  <si>
    <t>Planned Time</t>
  </si>
  <si>
    <t>Actual Time</t>
  </si>
  <si>
    <t xml:space="preserve">Status </t>
  </si>
  <si>
    <t>Published the Overnight Execution Reports of OSV Bench 01.</t>
  </si>
  <si>
    <t>*Build number, SysUcom Version, CAN Whitelist and CID Version</t>
  </si>
  <si>
    <t>Overnight Execution Analysis of OSV Bench 01.</t>
  </si>
  <si>
    <t>Auto-Flashing Analysis on OSV Bench 01.</t>
  </si>
  <si>
    <t>Overnight Execution Faiure of OSV Bench 01.</t>
  </si>
  <si>
    <t>Taken git pull/push on Bench 07.</t>
  </si>
  <si>
    <t>Performed Sanity on Bench 07.</t>
  </si>
  <si>
    <t>Checked missing resource popup on Bench 07.</t>
  </si>
  <si>
    <t>Connected Bench 07 to Jenkins Pipeline.</t>
  </si>
  <si>
    <t>Total</t>
  </si>
  <si>
    <t>Published the Overnight Execution Reports of Bench 07.</t>
  </si>
  <si>
    <t>Overnight Execution Analysis of Bench 07.</t>
  </si>
  <si>
    <t>Auto-Flashing Analysis on Bench 07.</t>
  </si>
  <si>
    <t>Attended meeting</t>
  </si>
  <si>
    <t>Bench 01 Analysis and fixation</t>
  </si>
  <si>
    <t>Bench 01 Sanity</t>
  </si>
  <si>
    <t>Bench 02 Sanity</t>
  </si>
  <si>
    <t>Makerlogs</t>
  </si>
  <si>
    <t>R</t>
  </si>
  <si>
    <t>Exception Handler</t>
  </si>
  <si>
    <t>Q, 3BMA</t>
  </si>
  <si>
    <t>Q Variant Exception Handlers Modification.</t>
  </si>
  <si>
    <t>R Variant Exception Handlers Modification.</t>
  </si>
  <si>
    <t>R Variant Makerlogs Script Modification.</t>
  </si>
  <si>
    <t>Calibration of OSV Bench 01.</t>
  </si>
  <si>
    <t>Sanity of OSV Bench 01.</t>
  </si>
  <si>
    <t>OSV Bench 01</t>
  </si>
  <si>
    <t>Time</t>
  </si>
  <si>
    <t>OSV Bench 01 L1 Review Rework.</t>
  </si>
  <si>
    <t>R Variant Icb Recovery using Renesas(Not Recovered yet)</t>
  </si>
  <si>
    <t>Overnight Execution Fixation of OSV Bench 01.</t>
  </si>
  <si>
    <t>OSV Bench 01 Execution in Progress for 3 Iterations.</t>
  </si>
  <si>
    <t>Overnight Execution and pipeline issue Jira Update.</t>
  </si>
  <si>
    <t>Re-builded iPhone Test Applications.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</si>
</sst>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wrapText="1"/>
    </xf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3" borderId="7" xfId="0" applyFill="1" applyBorder="1"/>
    <xf numFmtId="0" fontId="1" fillId="0" borderId="0" xfId="0" applyFont="1"/>
    <xf numFmtId="0" fontId="0" fillId="3" borderId="9" xfId="0" applyFill="1" applyBorder="1" applyAlignment="1">
      <alignment wrapText="1"/>
    </xf>
    <xf numFmtId="164" fontId="0" fillId="3" borderId="10" xfId="0" applyNumberFormat="1" applyFill="1" applyBorder="1"/>
    <xf numFmtId="0" fontId="0" fillId="3" borderId="10" xfId="0" applyFill="1" applyBorder="1" applyAlignment="1">
      <alignment wrapText="1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164" fontId="1" fillId="3" borderId="14" xfId="0" applyNumberFormat="1" applyFont="1" applyFill="1" applyBorder="1" applyAlignment="1">
      <alignment wrapText="1"/>
    </xf>
    <xf numFmtId="164" fontId="1" fillId="3" borderId="2" xfId="0" applyNumberFormat="1" applyFont="1" applyFill="1" applyBorder="1" applyAlignment="1">
      <alignment wrapText="1"/>
    </xf>
    <xf numFmtId="164" fontId="1" fillId="3" borderId="4" xfId="0" applyNumberFormat="1" applyFont="1" applyFill="1" applyBorder="1"/>
    <xf numFmtId="0" fontId="0" fillId="3" borderId="2" xfId="0" applyFill="1" applyBorder="1"/>
    <xf numFmtId="0" fontId="0" fillId="0" borderId="0" xfId="0" applyAlignment="1">
      <alignment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49" fontId="0" fillId="5" borderId="6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vertical="center" wrapText="1"/>
    </xf>
    <xf numFmtId="0" fontId="0" fillId="5" borderId="17" xfId="0" applyFill="1" applyBorder="1"/>
    <xf numFmtId="0" fontId="0" fillId="5" borderId="17" xfId="0" applyFill="1" applyBorder="1" applyAlignment="1">
      <alignment vertical="center" wrapText="1"/>
    </xf>
    <xf numFmtId="49" fontId="0" fillId="5" borderId="10" xfId="0" applyNumberFormat="1" applyFill="1" applyBorder="1" applyAlignment="1">
      <alignment horizontal="center" vertical="center"/>
    </xf>
    <xf numFmtId="20" fontId="0" fillId="5" borderId="8" xfId="0" applyNumberFormat="1" applyFill="1" applyBorder="1" applyAlignment="1">
      <alignment horizontal="center" vertical="center" wrapText="1"/>
    </xf>
    <xf numFmtId="0" fontId="0" fillId="5" borderId="19" xfId="0" applyFill="1" applyBorder="1" applyAlignment="1">
      <alignment vertical="center" wrapText="1"/>
    </xf>
    <xf numFmtId="0" fontId="0" fillId="5" borderId="10" xfId="0" applyFill="1" applyBorder="1"/>
    <xf numFmtId="0" fontId="0" fillId="5" borderId="10" xfId="0" applyFill="1" applyBorder="1" applyAlignment="1">
      <alignment vertical="center" wrapText="1"/>
    </xf>
    <xf numFmtId="20" fontId="1" fillId="5" borderId="13" xfId="0" applyNumberFormat="1" applyFont="1" applyFill="1" applyBorder="1" applyAlignment="1">
      <alignment horizontal="center" vertical="center" wrapText="1"/>
    </xf>
    <xf numFmtId="49" fontId="0" fillId="5" borderId="20" xfId="0" applyNumberFormat="1" applyFill="1" applyBorder="1" applyAlignment="1">
      <alignment horizontal="center" vertical="center"/>
    </xf>
    <xf numFmtId="20" fontId="0" fillId="5" borderId="11" xfId="0" applyNumberFormat="1" applyFill="1" applyBorder="1" applyAlignment="1">
      <alignment horizontal="center" vertical="center" wrapText="1"/>
    </xf>
    <xf numFmtId="20" fontId="0" fillId="5" borderId="16" xfId="0" applyNumberFormat="1" applyFill="1" applyBorder="1" applyAlignment="1">
      <alignment horizontal="center" vertical="center" wrapText="1"/>
    </xf>
    <xf numFmtId="20" fontId="0" fillId="5" borderId="4" xfId="0" applyNumberFormat="1" applyFill="1" applyBorder="1" applyAlignment="1">
      <alignment horizontal="center" vertical="center" wrapText="1"/>
    </xf>
    <xf numFmtId="20" fontId="0" fillId="5" borderId="1" xfId="0" applyNumberFormat="1" applyFill="1" applyBorder="1" applyAlignment="1">
      <alignment horizontal="center" vertical="center" wrapText="1"/>
    </xf>
    <xf numFmtId="20" fontId="0" fillId="5" borderId="2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/>
    </xf>
    <xf numFmtId="0" fontId="0" fillId="5" borderId="21" xfId="0" applyFill="1" applyBorder="1" applyAlignment="1">
      <alignment vertical="center" wrapText="1"/>
    </xf>
    <xf numFmtId="0" fontId="0" fillId="5" borderId="7" xfId="0" applyFill="1" applyBorder="1" applyAlignment="1">
      <alignment horizontal="center" vertical="center"/>
    </xf>
    <xf numFmtId="165" fontId="0" fillId="5" borderId="17" xfId="0" applyNumberFormat="1" applyFill="1" applyBorder="1" applyAlignment="1">
      <alignment vertical="center" wrapText="1"/>
    </xf>
    <xf numFmtId="165" fontId="0" fillId="5" borderId="10" xfId="0" applyNumberFormat="1" applyFill="1" applyBorder="1" applyAlignment="1">
      <alignment vertical="center" wrapText="1"/>
    </xf>
    <xf numFmtId="165" fontId="0" fillId="5" borderId="8" xfId="0" applyNumberFormat="1" applyFill="1" applyBorder="1" applyAlignment="1">
      <alignment horizontal="center" vertical="center" wrapText="1"/>
    </xf>
    <xf numFmtId="165" fontId="0" fillId="5" borderId="11" xfId="0" applyNumberFormat="1" applyFill="1" applyBorder="1" applyAlignment="1">
      <alignment horizontal="center" vertical="center" wrapText="1"/>
    </xf>
    <xf numFmtId="165" fontId="0" fillId="5" borderId="13" xfId="0" applyNumberFormat="1" applyFill="1" applyBorder="1" applyAlignment="1">
      <alignment horizontal="center" vertical="center" wrapText="1"/>
    </xf>
    <xf numFmtId="20" fontId="0" fillId="5" borderId="11" xfId="0" applyNumberFormat="1" applyFill="1" applyBorder="1" applyAlignment="1">
      <alignment horizontal="left" vertical="center" wrapText="1"/>
    </xf>
    <xf numFmtId="0" fontId="1" fillId="4" borderId="22" xfId="0" applyFont="1" applyFill="1" applyBorder="1" applyAlignment="1">
      <alignment horizontal="center" vertical="center" wrapText="1"/>
    </xf>
    <xf numFmtId="49" fontId="0" fillId="5" borderId="22" xfId="0" applyNumberFormat="1" applyFill="1" applyBorder="1" applyAlignment="1">
      <alignment horizontal="center" vertical="center"/>
    </xf>
    <xf numFmtId="0" fontId="0" fillId="5" borderId="22" xfId="0" applyFill="1" applyBorder="1" applyAlignment="1">
      <alignment vertical="center" wrapText="1"/>
    </xf>
    <xf numFmtId="20" fontId="0" fillId="5" borderId="22" xfId="0" applyNumberFormat="1" applyFill="1" applyBorder="1" applyAlignment="1">
      <alignment horizontal="left" vertical="center" wrapText="1"/>
    </xf>
    <xf numFmtId="20" fontId="2" fillId="5" borderId="10" xfId="0" applyNumberFormat="1" applyFont="1" applyFill="1" applyBorder="1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>
      <selection activeCell="B1" sqref="B1"/>
    </sheetView>
  </sheetViews>
  <sheetFormatPr defaultRowHeight="14.4" x14ac:dyDescent="0.3"/>
  <cols>
    <col min="1" max="1" width="6.88671875" bestFit="1" customWidth="1"/>
    <col min="2" max="2" width="57.33203125" customWidth="1"/>
    <col min="3" max="3" width="10.33203125" customWidth="1"/>
    <col min="4" max="7" width="11.88671875" customWidth="1"/>
    <col min="8" max="8" width="16.109375" customWidth="1"/>
  </cols>
  <sheetData>
    <row r="1" spans="1:8" ht="15.75" customHeight="1" thickBot="1" x14ac:dyDescent="0.35">
      <c r="A1" s="26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7" t="s">
        <v>7</v>
      </c>
    </row>
    <row r="2" spans="1:8" x14ac:dyDescent="0.3">
      <c r="A2" s="29" t="s">
        <v>8</v>
      </c>
      <c r="B2" s="30"/>
      <c r="C2" s="31"/>
      <c r="D2" s="48"/>
      <c r="E2" s="48"/>
      <c r="F2" s="32">
        <f t="shared" ref="F2:F21" si="0">E2-D2</f>
        <v>0</v>
      </c>
      <c r="G2" s="47"/>
      <c r="H2" s="32"/>
    </row>
    <row r="3" spans="1:8" x14ac:dyDescent="0.3">
      <c r="A3" s="33" t="s">
        <v>9</v>
      </c>
      <c r="B3" s="35"/>
      <c r="C3" s="36"/>
      <c r="D3" s="49"/>
      <c r="E3" s="49"/>
      <c r="F3" s="32">
        <f t="shared" si="0"/>
        <v>0</v>
      </c>
      <c r="G3" s="47"/>
      <c r="H3" s="37"/>
    </row>
    <row r="4" spans="1:8" x14ac:dyDescent="0.3">
      <c r="A4" s="33" t="s">
        <v>10</v>
      </c>
      <c r="B4" s="35"/>
      <c r="C4" s="36"/>
      <c r="D4" s="49"/>
      <c r="E4" s="49"/>
      <c r="F4" s="32">
        <f t="shared" si="0"/>
        <v>0</v>
      </c>
      <c r="G4" s="47"/>
      <c r="H4" s="37"/>
    </row>
    <row r="5" spans="1:8" x14ac:dyDescent="0.3">
      <c r="A5" s="33" t="s">
        <v>11</v>
      </c>
      <c r="B5" s="35"/>
      <c r="C5" s="36"/>
      <c r="D5" s="49"/>
      <c r="E5" s="49"/>
      <c r="F5" s="32">
        <f t="shared" si="0"/>
        <v>0</v>
      </c>
      <c r="G5" s="47"/>
      <c r="H5" s="37"/>
    </row>
    <row r="6" spans="1:8" x14ac:dyDescent="0.3">
      <c r="A6" s="33" t="s">
        <v>12</v>
      </c>
      <c r="B6" s="35"/>
      <c r="C6" s="36"/>
      <c r="D6" s="49"/>
      <c r="E6" s="49"/>
      <c r="F6" s="32">
        <f t="shared" si="0"/>
        <v>0</v>
      </c>
      <c r="G6" s="47"/>
      <c r="H6" s="37"/>
    </row>
    <row r="7" spans="1:8" x14ac:dyDescent="0.3">
      <c r="A7" s="33" t="s">
        <v>13</v>
      </c>
      <c r="B7" s="35"/>
      <c r="C7" s="36"/>
      <c r="D7" s="49"/>
      <c r="E7" s="49"/>
      <c r="F7" s="32">
        <f t="shared" si="0"/>
        <v>0</v>
      </c>
      <c r="G7" s="47"/>
      <c r="H7" s="37"/>
    </row>
    <row r="8" spans="1:8" x14ac:dyDescent="0.3">
      <c r="A8" s="33" t="s">
        <v>14</v>
      </c>
      <c r="B8" s="35"/>
      <c r="C8" s="36"/>
      <c r="D8" s="49"/>
      <c r="E8" s="49"/>
      <c r="F8" s="32">
        <f t="shared" si="0"/>
        <v>0</v>
      </c>
      <c r="G8" s="47"/>
      <c r="H8" s="37"/>
    </row>
    <row r="9" spans="1:8" x14ac:dyDescent="0.3">
      <c r="A9" s="33" t="s">
        <v>15</v>
      </c>
      <c r="B9" s="35"/>
      <c r="C9" s="36"/>
      <c r="D9" s="49"/>
      <c r="E9" s="49"/>
      <c r="F9" s="32">
        <f t="shared" si="0"/>
        <v>0</v>
      </c>
      <c r="G9" s="47"/>
      <c r="H9" s="37"/>
    </row>
    <row r="10" spans="1:8" x14ac:dyDescent="0.3">
      <c r="A10" s="33" t="s">
        <v>16</v>
      </c>
      <c r="B10" s="35"/>
      <c r="C10" s="36"/>
      <c r="D10" s="49"/>
      <c r="E10" s="49"/>
      <c r="F10" s="32">
        <f t="shared" si="0"/>
        <v>0</v>
      </c>
      <c r="G10" s="47"/>
      <c r="H10" s="37"/>
    </row>
    <row r="11" spans="1:8" x14ac:dyDescent="0.3">
      <c r="A11" s="33" t="s">
        <v>17</v>
      </c>
      <c r="B11" s="34"/>
      <c r="C11" s="34"/>
      <c r="D11" s="50"/>
      <c r="E11" s="50"/>
      <c r="F11" s="32">
        <f t="shared" si="0"/>
        <v>0</v>
      </c>
      <c r="G11" s="47"/>
      <c r="H11" s="34"/>
    </row>
    <row r="12" spans="1:8" x14ac:dyDescent="0.3">
      <c r="A12" s="33" t="s">
        <v>18</v>
      </c>
      <c r="B12" s="34"/>
      <c r="C12" s="34"/>
      <c r="D12" s="50"/>
      <c r="E12" s="50"/>
      <c r="F12" s="32">
        <f t="shared" si="0"/>
        <v>0</v>
      </c>
      <c r="G12" s="47"/>
      <c r="H12" s="34"/>
    </row>
    <row r="13" spans="1:8" x14ac:dyDescent="0.3">
      <c r="A13" s="33" t="s">
        <v>19</v>
      </c>
      <c r="B13" s="34"/>
      <c r="C13" s="34"/>
      <c r="D13" s="50"/>
      <c r="E13" s="50"/>
      <c r="F13" s="32">
        <f t="shared" si="0"/>
        <v>0</v>
      </c>
      <c r="G13" s="47"/>
      <c r="H13" s="34"/>
    </row>
    <row r="14" spans="1:8" x14ac:dyDescent="0.3">
      <c r="A14" s="33" t="s">
        <v>20</v>
      </c>
      <c r="B14" s="34"/>
      <c r="C14" s="34"/>
      <c r="D14" s="50"/>
      <c r="E14" s="50"/>
      <c r="F14" s="32">
        <f t="shared" si="0"/>
        <v>0</v>
      </c>
      <c r="G14" s="47"/>
      <c r="H14" s="34"/>
    </row>
    <row r="15" spans="1:8" x14ac:dyDescent="0.3">
      <c r="A15" s="33" t="s">
        <v>21</v>
      </c>
      <c r="B15" s="34"/>
      <c r="C15" s="34"/>
      <c r="D15" s="50"/>
      <c r="E15" s="50"/>
      <c r="F15" s="32">
        <f t="shared" si="0"/>
        <v>0</v>
      </c>
      <c r="G15" s="47"/>
      <c r="H15" s="34"/>
    </row>
    <row r="16" spans="1:8" x14ac:dyDescent="0.3">
      <c r="A16" s="33" t="s">
        <v>22</v>
      </c>
      <c r="B16" s="34"/>
      <c r="C16" s="34"/>
      <c r="D16" s="50"/>
      <c r="E16" s="50"/>
      <c r="F16" s="32">
        <f t="shared" si="0"/>
        <v>0</v>
      </c>
      <c r="G16" s="47"/>
      <c r="H16" s="34"/>
    </row>
    <row r="17" spans="1:8" x14ac:dyDescent="0.3">
      <c r="A17" s="33" t="s">
        <v>23</v>
      </c>
      <c r="B17" s="34"/>
      <c r="C17" s="34"/>
      <c r="D17" s="50"/>
      <c r="E17" s="50"/>
      <c r="F17" s="32">
        <f t="shared" si="0"/>
        <v>0</v>
      </c>
      <c r="G17" s="47"/>
      <c r="H17" s="34"/>
    </row>
    <row r="18" spans="1:8" x14ac:dyDescent="0.3">
      <c r="A18" s="33" t="s">
        <v>24</v>
      </c>
      <c r="B18" s="34"/>
      <c r="C18" s="34"/>
      <c r="D18" s="50"/>
      <c r="E18" s="50"/>
      <c r="F18" s="32">
        <f t="shared" si="0"/>
        <v>0</v>
      </c>
      <c r="G18" s="47"/>
      <c r="H18" s="34"/>
    </row>
    <row r="19" spans="1:8" x14ac:dyDescent="0.3">
      <c r="A19" s="33" t="s">
        <v>25</v>
      </c>
      <c r="B19" s="34"/>
      <c r="C19" s="34"/>
      <c r="D19" s="50"/>
      <c r="E19" s="50"/>
      <c r="F19" s="32">
        <f t="shared" si="0"/>
        <v>0</v>
      </c>
      <c r="G19" s="47"/>
      <c r="H19" s="34"/>
    </row>
    <row r="20" spans="1:8" ht="15" customHeight="1" x14ac:dyDescent="0.3">
      <c r="A20" s="33" t="s">
        <v>26</v>
      </c>
      <c r="B20" s="34"/>
      <c r="C20" s="34"/>
      <c r="D20" s="50"/>
      <c r="E20" s="50"/>
      <c r="F20" s="32">
        <f t="shared" si="0"/>
        <v>0</v>
      </c>
      <c r="G20" s="47"/>
      <c r="H20" s="34"/>
    </row>
    <row r="21" spans="1:8" ht="15" customHeight="1" thickBot="1" x14ac:dyDescent="0.35">
      <c r="A21" s="39" t="s">
        <v>27</v>
      </c>
      <c r="B21" s="40"/>
      <c r="C21" s="40"/>
      <c r="D21" s="51"/>
      <c r="E21" s="52"/>
      <c r="F21" s="46">
        <f t="shared" si="0"/>
        <v>0</v>
      </c>
      <c r="G21" s="47"/>
      <c r="H21" s="40"/>
    </row>
    <row r="22" spans="1:8" ht="15.75" customHeight="1" thickBot="1" x14ac:dyDescent="0.35">
      <c r="A22" s="45"/>
      <c r="B22" s="41"/>
      <c r="C22" s="44"/>
      <c r="D22" s="42"/>
      <c r="E22" s="38" t="s">
        <v>5</v>
      </c>
      <c r="F22" s="44">
        <f>SUM(F2:F21)</f>
        <v>0</v>
      </c>
      <c r="G22" s="43"/>
      <c r="H22" s="44"/>
    </row>
  </sheetData>
  <conditionalFormatting sqref="C2:C10">
    <cfRule type="containsText" dxfId="17" priority="7" operator="containsText" text="Low">
      <formula>NOT(ISERROR(SEARCH("Low",C2)))</formula>
    </cfRule>
    <cfRule type="containsText" dxfId="16" priority="8" operator="containsText" text="Medium">
      <formula>NOT(ISERROR(SEARCH("Medium",C2)))</formula>
    </cfRule>
    <cfRule type="containsText" dxfId="15" priority="9" operator="containsText" text="High">
      <formula>NOT(ISERROR(SEARCH("High",C2)))</formula>
    </cfRule>
  </conditionalFormatting>
  <conditionalFormatting sqref="G2:G21">
    <cfRule type="expression" dxfId="14" priority="1">
      <formula>SEARCH("In-Progress", G2)</formula>
    </cfRule>
    <cfRule type="expression" dxfId="13" priority="2">
      <formula>SEARCH("Incomplete", G2)</formula>
    </cfRule>
    <cfRule type="expression" dxfId="12" priority="3">
      <formula>SEARCH("Completed", G2)</formula>
    </cfRule>
  </conditionalFormatting>
  <dataValidations count="2">
    <dataValidation type="list" allowBlank="1" showInputMessage="1" showErrorMessage="1" sqref="D18:E20 G2:G21 H18:H20" xr:uid="{00000000-0002-0000-0000-000000000000}">
      <formula1>"Completed, Incomplete, In-Progress"</formula1>
    </dataValidation>
    <dataValidation type="list" allowBlank="1" showInputMessage="1" showErrorMessage="1" sqref="C2:C17" xr:uid="{00000000-0002-0000-0000-000001000000}">
      <formula1>"High,Medium,Low"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B5" sqref="B5"/>
    </sheetView>
  </sheetViews>
  <sheetFormatPr defaultRowHeight="14.4" x14ac:dyDescent="0.3"/>
  <cols>
    <col min="1" max="1" width="6.6640625" bestFit="1" customWidth="1"/>
    <col min="2" max="2" width="56.6640625" customWidth="1"/>
    <col min="3" max="3" width="9.5546875" bestFit="1" customWidth="1"/>
    <col min="4" max="4" width="8.6640625" bestFit="1" customWidth="1"/>
    <col min="5" max="5" width="12.44140625" bestFit="1" customWidth="1"/>
    <col min="6" max="6" width="10.88671875" bestFit="1" customWidth="1"/>
    <col min="7" max="7" width="6.6640625" bestFit="1" customWidth="1"/>
  </cols>
  <sheetData>
    <row r="1" spans="1:9" ht="15" customHeight="1" thickBot="1" x14ac:dyDescent="0.35">
      <c r="A1" s="1" t="s">
        <v>28</v>
      </c>
      <c r="B1" s="2" t="s">
        <v>29</v>
      </c>
      <c r="C1" s="3" t="s">
        <v>3</v>
      </c>
      <c r="D1" s="4" t="s">
        <v>4</v>
      </c>
      <c r="E1" s="4" t="s">
        <v>30</v>
      </c>
      <c r="F1" s="5" t="s">
        <v>31</v>
      </c>
      <c r="G1" s="2" t="s">
        <v>32</v>
      </c>
    </row>
    <row r="2" spans="1:9" x14ac:dyDescent="0.3">
      <c r="A2" s="6">
        <f t="shared" ref="A2:A21" si="0">ROW() - ROW($A$1)</f>
        <v>1</v>
      </c>
      <c r="B2" s="7" t="s">
        <v>33</v>
      </c>
      <c r="C2" s="8">
        <v>0.35416666666666669</v>
      </c>
      <c r="D2" s="9">
        <v>0.36458333333333331</v>
      </c>
      <c r="E2" s="9">
        <v>1.388888888888889E-2</v>
      </c>
      <c r="F2" s="10">
        <f t="shared" ref="F2:F21" si="1">D2-C2</f>
        <v>1.041666666666663E-2</v>
      </c>
      <c r="G2" s="11"/>
      <c r="I2" s="12" t="s">
        <v>34</v>
      </c>
    </row>
    <row r="3" spans="1:9" x14ac:dyDescent="0.3">
      <c r="A3" s="6">
        <f t="shared" si="0"/>
        <v>2</v>
      </c>
      <c r="B3" s="13" t="s">
        <v>35</v>
      </c>
      <c r="C3" s="14">
        <v>0.36458333333333331</v>
      </c>
      <c r="D3" s="10">
        <v>0.39791666666666659</v>
      </c>
      <c r="E3" s="10">
        <v>1.7361111111111108E-2</v>
      </c>
      <c r="F3" s="10">
        <f t="shared" si="1"/>
        <v>3.333333333333327E-2</v>
      </c>
      <c r="G3" s="11"/>
    </row>
    <row r="4" spans="1:9" x14ac:dyDescent="0.3">
      <c r="A4" s="6">
        <f t="shared" si="0"/>
        <v>3</v>
      </c>
      <c r="B4" s="15" t="s">
        <v>36</v>
      </c>
      <c r="C4" s="14">
        <v>0.39791666666666659</v>
      </c>
      <c r="D4" s="10">
        <v>0.40277777777777779</v>
      </c>
      <c r="E4" s="10">
        <v>6.9444444444444441E-3</v>
      </c>
      <c r="F4" s="10">
        <f t="shared" si="1"/>
        <v>4.8611111111112049E-3</v>
      </c>
      <c r="G4" s="11"/>
    </row>
    <row r="5" spans="1:9" x14ac:dyDescent="0.3">
      <c r="A5" s="6">
        <f t="shared" si="0"/>
        <v>4</v>
      </c>
      <c r="B5" s="13" t="s">
        <v>37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3">
      <c r="A6" s="6">
        <f t="shared" si="0"/>
        <v>5</v>
      </c>
      <c r="B6" s="13"/>
      <c r="C6" s="14"/>
      <c r="D6" s="10"/>
      <c r="E6" s="10"/>
      <c r="F6" s="10">
        <f t="shared" si="1"/>
        <v>0</v>
      </c>
      <c r="G6" s="11"/>
    </row>
    <row r="7" spans="1:9" x14ac:dyDescent="0.3">
      <c r="A7" s="6">
        <f t="shared" si="0"/>
        <v>6</v>
      </c>
      <c r="B7" s="13"/>
      <c r="C7" s="14"/>
      <c r="D7" s="10"/>
      <c r="E7" s="10"/>
      <c r="F7" s="10">
        <f t="shared" si="1"/>
        <v>0</v>
      </c>
      <c r="G7" s="11"/>
    </row>
    <row r="8" spans="1:9" x14ac:dyDescent="0.3">
      <c r="A8" s="6">
        <f t="shared" si="0"/>
        <v>7</v>
      </c>
      <c r="B8" s="13"/>
      <c r="C8" s="14"/>
      <c r="D8" s="10"/>
      <c r="E8" s="10"/>
      <c r="F8" s="14">
        <f t="shared" si="1"/>
        <v>0</v>
      </c>
      <c r="G8" s="11"/>
    </row>
    <row r="9" spans="1:9" x14ac:dyDescent="0.3">
      <c r="A9" s="6">
        <f t="shared" si="0"/>
        <v>8</v>
      </c>
      <c r="B9" s="13"/>
      <c r="C9" s="14"/>
      <c r="D9" s="10"/>
      <c r="E9" s="10"/>
      <c r="F9" s="10">
        <f t="shared" si="1"/>
        <v>0</v>
      </c>
      <c r="G9" s="11"/>
    </row>
    <row r="10" spans="1:9" x14ac:dyDescent="0.3">
      <c r="A10" s="6">
        <f t="shared" si="0"/>
        <v>9</v>
      </c>
      <c r="B10" s="13"/>
      <c r="C10" s="14"/>
      <c r="D10" s="10"/>
      <c r="E10" s="10"/>
      <c r="F10" s="10">
        <f t="shared" si="1"/>
        <v>0</v>
      </c>
      <c r="G10" s="11"/>
    </row>
    <row r="11" spans="1:9" x14ac:dyDescent="0.3">
      <c r="A11" s="6">
        <f t="shared" si="0"/>
        <v>10</v>
      </c>
      <c r="B11" s="13"/>
      <c r="C11" s="14"/>
      <c r="D11" s="16"/>
      <c r="E11" s="16"/>
      <c r="F11" s="10">
        <f t="shared" si="1"/>
        <v>0</v>
      </c>
      <c r="G11" s="11"/>
    </row>
    <row r="12" spans="1:9" x14ac:dyDescent="0.3">
      <c r="A12" s="6">
        <f t="shared" si="0"/>
        <v>11</v>
      </c>
      <c r="B12" s="13"/>
      <c r="C12" s="14"/>
      <c r="D12" s="16"/>
      <c r="E12" s="16"/>
      <c r="F12" s="10">
        <f t="shared" si="1"/>
        <v>0</v>
      </c>
      <c r="G12" s="11"/>
    </row>
    <row r="13" spans="1:9" x14ac:dyDescent="0.3">
      <c r="A13" s="6">
        <f t="shared" si="0"/>
        <v>12</v>
      </c>
      <c r="B13" s="13"/>
      <c r="C13" s="14"/>
      <c r="D13" s="16"/>
      <c r="E13" s="16"/>
      <c r="F13" s="10">
        <f t="shared" si="1"/>
        <v>0</v>
      </c>
      <c r="G13" s="11"/>
    </row>
    <row r="14" spans="1:9" x14ac:dyDescent="0.3">
      <c r="A14" s="6">
        <f t="shared" si="0"/>
        <v>13</v>
      </c>
      <c r="B14" s="13"/>
      <c r="C14" s="14"/>
      <c r="D14" s="16"/>
      <c r="E14" s="16"/>
      <c r="F14" s="10">
        <f t="shared" si="1"/>
        <v>0</v>
      </c>
      <c r="G14" s="11"/>
    </row>
    <row r="15" spans="1:9" x14ac:dyDescent="0.3">
      <c r="A15" s="6">
        <f t="shared" si="0"/>
        <v>14</v>
      </c>
      <c r="B15" s="13"/>
      <c r="C15" s="14"/>
      <c r="D15" s="16"/>
      <c r="E15" s="16"/>
      <c r="F15" s="10">
        <f t="shared" si="1"/>
        <v>0</v>
      </c>
      <c r="G15" s="11"/>
    </row>
    <row r="16" spans="1:9" x14ac:dyDescent="0.3">
      <c r="A16" s="6">
        <f t="shared" si="0"/>
        <v>15</v>
      </c>
      <c r="B16" s="13"/>
      <c r="C16" s="14"/>
      <c r="D16" s="16"/>
      <c r="E16" s="16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3"/>
      <c r="C17" s="14"/>
      <c r="D17" s="16"/>
      <c r="E17" s="16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3" t="s">
        <v>38</v>
      </c>
      <c r="C18" s="14"/>
      <c r="D18" s="16"/>
      <c r="E18" s="16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3" t="s">
        <v>39</v>
      </c>
      <c r="C19" s="14"/>
      <c r="D19" s="16"/>
      <c r="E19" s="16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3" t="s">
        <v>40</v>
      </c>
      <c r="C20" s="14"/>
      <c r="D20" s="16"/>
      <c r="E20" s="16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3" t="s">
        <v>41</v>
      </c>
      <c r="C21" s="17"/>
      <c r="D21" s="18"/>
      <c r="E21" s="16"/>
      <c r="F21" s="10">
        <f t="shared" si="1"/>
        <v>0</v>
      </c>
      <c r="G21" s="11"/>
    </row>
    <row r="22" spans="1:7" ht="15" customHeight="1" thickBot="1" x14ac:dyDescent="0.35">
      <c r="A22" s="19"/>
      <c r="B22" s="20" t="s">
        <v>42</v>
      </c>
      <c r="C22" s="21"/>
      <c r="D22" s="21"/>
      <c r="E22" s="22"/>
      <c r="F22" s="23">
        <f>SUM(F2:F21)</f>
        <v>4.8611111111111105E-2</v>
      </c>
      <c r="G2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3"/>
  <sheetViews>
    <sheetView workbookViewId="0">
      <selection activeCell="B1" sqref="B1:B18"/>
    </sheetView>
  </sheetViews>
  <sheetFormatPr defaultRowHeight="14.4" x14ac:dyDescent="0.3"/>
  <cols>
    <col min="1" max="1" width="6.6640625" bestFit="1" customWidth="1"/>
    <col min="2" max="2" width="56.6640625" customWidth="1"/>
    <col min="3" max="3" width="9.5546875" bestFit="1" customWidth="1"/>
    <col min="4" max="4" width="8.6640625" bestFit="1" customWidth="1"/>
    <col min="5" max="5" width="12.44140625" bestFit="1" customWidth="1"/>
    <col min="6" max="6" width="10.88671875" bestFit="1" customWidth="1"/>
    <col min="7" max="7" width="6.6640625" bestFit="1" customWidth="1"/>
  </cols>
  <sheetData>
    <row r="1" spans="1:9" ht="15" customHeight="1" thickBot="1" x14ac:dyDescent="0.35">
      <c r="A1" s="1" t="s">
        <v>28</v>
      </c>
      <c r="B1" s="2" t="s">
        <v>29</v>
      </c>
      <c r="C1" s="3" t="s">
        <v>3</v>
      </c>
      <c r="D1" s="4" t="s">
        <v>4</v>
      </c>
      <c r="E1" s="4" t="s">
        <v>30</v>
      </c>
      <c r="F1" s="5" t="s">
        <v>31</v>
      </c>
      <c r="G1" s="2" t="s">
        <v>32</v>
      </c>
    </row>
    <row r="2" spans="1:9" x14ac:dyDescent="0.3">
      <c r="A2" s="6">
        <f t="shared" ref="A2:A21" si="0">ROW() - ROW($A$1)</f>
        <v>1</v>
      </c>
      <c r="B2" s="7" t="s">
        <v>43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12" t="s">
        <v>34</v>
      </c>
    </row>
    <row r="3" spans="1:9" x14ac:dyDescent="0.3">
      <c r="A3" s="6">
        <f t="shared" si="0"/>
        <v>2</v>
      </c>
      <c r="B3" s="13" t="s">
        <v>44</v>
      </c>
      <c r="C3" s="14"/>
      <c r="D3" s="10"/>
      <c r="E3" s="10">
        <v>1.7361111111111108E-2</v>
      </c>
      <c r="F3" s="10">
        <f t="shared" si="1"/>
        <v>0</v>
      </c>
      <c r="G3" s="11"/>
    </row>
    <row r="4" spans="1:9" x14ac:dyDescent="0.3">
      <c r="A4" s="6">
        <f t="shared" si="0"/>
        <v>3</v>
      </c>
      <c r="B4" s="15" t="s">
        <v>45</v>
      </c>
      <c r="C4" s="14"/>
      <c r="D4" s="10"/>
      <c r="E4" s="10">
        <v>6.9444444444444441E-3</v>
      </c>
      <c r="F4" s="10">
        <f t="shared" si="1"/>
        <v>0</v>
      </c>
      <c r="G4" s="11"/>
    </row>
    <row r="5" spans="1:9" x14ac:dyDescent="0.3">
      <c r="A5" s="6">
        <f t="shared" si="0"/>
        <v>4</v>
      </c>
      <c r="B5" s="13" t="s">
        <v>46</v>
      </c>
      <c r="C5" s="14"/>
      <c r="D5" s="10"/>
      <c r="E5" s="10">
        <v>4.1666666666666657E-2</v>
      </c>
      <c r="F5" s="10">
        <f t="shared" si="1"/>
        <v>0</v>
      </c>
      <c r="G5" s="11"/>
    </row>
    <row r="6" spans="1:9" x14ac:dyDescent="0.3">
      <c r="A6" s="6">
        <f t="shared" si="0"/>
        <v>5</v>
      </c>
      <c r="B6" s="13"/>
      <c r="C6" s="14"/>
      <c r="D6" s="10"/>
      <c r="E6" s="10"/>
      <c r="F6" s="10">
        <f t="shared" si="1"/>
        <v>0</v>
      </c>
      <c r="G6" s="11"/>
    </row>
    <row r="7" spans="1:9" x14ac:dyDescent="0.3">
      <c r="A7" s="6">
        <f t="shared" si="0"/>
        <v>6</v>
      </c>
      <c r="B7" s="13"/>
      <c r="C7" s="14"/>
      <c r="D7" s="10"/>
      <c r="E7" s="10"/>
      <c r="F7" s="10">
        <f t="shared" si="1"/>
        <v>0</v>
      </c>
      <c r="G7" s="11"/>
    </row>
    <row r="8" spans="1:9" x14ac:dyDescent="0.3">
      <c r="A8" s="6">
        <f t="shared" si="0"/>
        <v>7</v>
      </c>
      <c r="B8" s="13"/>
      <c r="C8" s="14"/>
      <c r="D8" s="10"/>
      <c r="E8" s="10"/>
      <c r="F8" s="14">
        <f t="shared" si="1"/>
        <v>0</v>
      </c>
      <c r="G8" s="11"/>
    </row>
    <row r="9" spans="1:9" x14ac:dyDescent="0.3">
      <c r="A9" s="6">
        <f t="shared" si="0"/>
        <v>8</v>
      </c>
      <c r="B9" s="13"/>
      <c r="C9" s="14"/>
      <c r="D9" s="10"/>
      <c r="E9" s="10"/>
      <c r="F9" s="10">
        <f t="shared" si="1"/>
        <v>0</v>
      </c>
      <c r="G9" s="11"/>
    </row>
    <row r="10" spans="1:9" x14ac:dyDescent="0.3">
      <c r="A10" s="6">
        <f t="shared" si="0"/>
        <v>9</v>
      </c>
      <c r="B10" s="13"/>
      <c r="C10" s="14"/>
      <c r="D10" s="10"/>
      <c r="E10" s="10"/>
      <c r="F10" s="10">
        <f t="shared" si="1"/>
        <v>0</v>
      </c>
      <c r="G10" s="11"/>
    </row>
    <row r="11" spans="1:9" x14ac:dyDescent="0.3">
      <c r="A11" s="6">
        <f t="shared" si="0"/>
        <v>10</v>
      </c>
      <c r="B11" s="13"/>
      <c r="C11" s="14"/>
      <c r="D11" s="16"/>
      <c r="E11" s="16"/>
      <c r="F11" s="10">
        <f t="shared" si="1"/>
        <v>0</v>
      </c>
      <c r="G11" s="11"/>
    </row>
    <row r="12" spans="1:9" x14ac:dyDescent="0.3">
      <c r="A12" s="6">
        <f t="shared" si="0"/>
        <v>11</v>
      </c>
      <c r="B12" s="13"/>
      <c r="C12" s="14"/>
      <c r="D12" s="16"/>
      <c r="E12" s="16"/>
      <c r="F12" s="10">
        <f t="shared" si="1"/>
        <v>0</v>
      </c>
      <c r="G12" s="11"/>
    </row>
    <row r="13" spans="1:9" x14ac:dyDescent="0.3">
      <c r="A13" s="6">
        <f t="shared" si="0"/>
        <v>12</v>
      </c>
      <c r="B13" s="13"/>
      <c r="C13" s="14"/>
      <c r="D13" s="16"/>
      <c r="E13" s="16"/>
      <c r="F13" s="10">
        <f t="shared" si="1"/>
        <v>0</v>
      </c>
      <c r="G13" s="11"/>
    </row>
    <row r="14" spans="1:9" x14ac:dyDescent="0.3">
      <c r="A14" s="6">
        <f t="shared" si="0"/>
        <v>13</v>
      </c>
      <c r="B14" s="13"/>
      <c r="C14" s="14"/>
      <c r="D14" s="16"/>
      <c r="E14" s="16"/>
      <c r="F14" s="10">
        <f t="shared" si="1"/>
        <v>0</v>
      </c>
      <c r="G14" s="11"/>
    </row>
    <row r="15" spans="1:9" x14ac:dyDescent="0.3">
      <c r="A15" s="6">
        <f t="shared" si="0"/>
        <v>14</v>
      </c>
      <c r="B15" s="13"/>
      <c r="C15" s="14"/>
      <c r="D15" s="16"/>
      <c r="E15" s="16"/>
      <c r="F15" s="10">
        <f t="shared" si="1"/>
        <v>0</v>
      </c>
      <c r="G15" s="11"/>
    </row>
    <row r="16" spans="1:9" x14ac:dyDescent="0.3">
      <c r="A16" s="6">
        <f t="shared" si="0"/>
        <v>15</v>
      </c>
      <c r="B16" s="13"/>
      <c r="C16" s="14"/>
      <c r="D16" s="16"/>
      <c r="E16" s="16"/>
      <c r="F16" s="10">
        <f t="shared" si="1"/>
        <v>0</v>
      </c>
      <c r="G16" s="11"/>
    </row>
    <row r="17" spans="1:7" x14ac:dyDescent="0.3">
      <c r="A17" s="6">
        <f t="shared" si="0"/>
        <v>16</v>
      </c>
      <c r="B17" s="13"/>
      <c r="C17" s="14"/>
      <c r="D17" s="16"/>
      <c r="E17" s="16"/>
      <c r="F17" s="10">
        <f t="shared" si="1"/>
        <v>0</v>
      </c>
      <c r="G17" s="11"/>
    </row>
    <row r="18" spans="1:7" x14ac:dyDescent="0.3">
      <c r="A18" s="6">
        <f t="shared" si="0"/>
        <v>17</v>
      </c>
      <c r="B18" s="13" t="s">
        <v>38</v>
      </c>
      <c r="C18" s="14"/>
      <c r="D18" s="16"/>
      <c r="E18" s="16"/>
      <c r="F18" s="10">
        <f t="shared" si="1"/>
        <v>0</v>
      </c>
      <c r="G18" s="11"/>
    </row>
    <row r="19" spans="1:7" x14ac:dyDescent="0.3">
      <c r="A19" s="6">
        <f t="shared" si="0"/>
        <v>18</v>
      </c>
      <c r="B19" s="13" t="s">
        <v>39</v>
      </c>
      <c r="C19" s="14"/>
      <c r="D19" s="16"/>
      <c r="E19" s="16"/>
      <c r="F19" s="10">
        <f t="shared" si="1"/>
        <v>0</v>
      </c>
      <c r="G19" s="11"/>
    </row>
    <row r="20" spans="1:7" x14ac:dyDescent="0.3">
      <c r="A20" s="6">
        <f t="shared" si="0"/>
        <v>19</v>
      </c>
      <c r="B20" s="13" t="s">
        <v>40</v>
      </c>
      <c r="C20" s="14"/>
      <c r="D20" s="16"/>
      <c r="E20" s="16"/>
      <c r="F20" s="10">
        <f t="shared" si="1"/>
        <v>0</v>
      </c>
      <c r="G20" s="11"/>
    </row>
    <row r="21" spans="1:7" ht="15" customHeight="1" thickBot="1" x14ac:dyDescent="0.35">
      <c r="A21" s="6">
        <f t="shared" si="0"/>
        <v>20</v>
      </c>
      <c r="B21" s="13" t="s">
        <v>41</v>
      </c>
      <c r="C21" s="17"/>
      <c r="D21" s="18"/>
      <c r="E21" s="16"/>
      <c r="F21" s="10">
        <f t="shared" si="1"/>
        <v>0</v>
      </c>
      <c r="G21" s="11"/>
    </row>
    <row r="22" spans="1:7" ht="15" customHeight="1" thickBot="1" x14ac:dyDescent="0.35">
      <c r="A22" s="19"/>
      <c r="B22" s="20" t="s">
        <v>42</v>
      </c>
      <c r="C22" s="21"/>
      <c r="D22" s="21"/>
      <c r="E22" s="22"/>
      <c r="F22" s="23">
        <f>SUM(F2:F21)</f>
        <v>0</v>
      </c>
      <c r="G22" s="24"/>
    </row>
    <row r="28" spans="1:7" x14ac:dyDescent="0.3">
      <c r="B28" t="s">
        <v>47</v>
      </c>
    </row>
    <row r="29" spans="1:7" x14ac:dyDescent="0.3">
      <c r="B29" t="s">
        <v>48</v>
      </c>
    </row>
    <row r="30" spans="1:7" x14ac:dyDescent="0.3">
      <c r="B30" t="s">
        <v>49</v>
      </c>
    </row>
    <row r="31" spans="1:7" x14ac:dyDescent="0.3">
      <c r="B31" s="25" t="s">
        <v>50</v>
      </c>
      <c r="C31" t="s">
        <v>51</v>
      </c>
    </row>
    <row r="32" spans="1:7" x14ac:dyDescent="0.3">
      <c r="B32" s="25" t="s">
        <v>52</v>
      </c>
      <c r="C32" s="25" t="s">
        <v>51</v>
      </c>
    </row>
    <row r="33" spans="2:3" x14ac:dyDescent="0.3">
      <c r="B33" s="25" t="s">
        <v>52</v>
      </c>
      <c r="C3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selection activeCell="B21" sqref="B21"/>
    </sheetView>
  </sheetViews>
  <sheetFormatPr defaultRowHeight="14.4" x14ac:dyDescent="0.3"/>
  <cols>
    <col min="1" max="1" width="6.88671875" bestFit="1" customWidth="1"/>
    <col min="2" max="2" width="57.33203125" customWidth="1"/>
    <col min="3" max="3" width="10.33203125" customWidth="1"/>
    <col min="4" max="7" width="11.88671875" customWidth="1"/>
    <col min="8" max="8" width="16.109375" customWidth="1"/>
  </cols>
  <sheetData>
    <row r="1" spans="1:8" ht="15.75" customHeight="1" thickBot="1" x14ac:dyDescent="0.35">
      <c r="A1" s="26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7" t="s">
        <v>7</v>
      </c>
    </row>
    <row r="2" spans="1:8" x14ac:dyDescent="0.3">
      <c r="A2" s="29" t="s">
        <v>8</v>
      </c>
      <c r="B2" s="30" t="s">
        <v>33</v>
      </c>
      <c r="C2" s="31"/>
      <c r="D2" s="48"/>
      <c r="E2" s="48"/>
      <c r="F2" s="32">
        <f t="shared" ref="F2:F21" si="0">E2-D2</f>
        <v>0</v>
      </c>
      <c r="G2" s="47"/>
      <c r="H2" s="32"/>
    </row>
    <row r="3" spans="1:8" x14ac:dyDescent="0.3">
      <c r="A3" s="33" t="s">
        <v>9</v>
      </c>
      <c r="B3" s="35" t="s">
        <v>35</v>
      </c>
      <c r="C3" s="36"/>
      <c r="D3" s="49"/>
      <c r="E3" s="49"/>
      <c r="F3" s="32">
        <f t="shared" si="0"/>
        <v>0</v>
      </c>
      <c r="G3" s="47"/>
      <c r="H3" s="37"/>
    </row>
    <row r="4" spans="1:8" x14ac:dyDescent="0.3">
      <c r="A4" s="33" t="s">
        <v>10</v>
      </c>
      <c r="B4" s="35" t="s">
        <v>36</v>
      </c>
      <c r="C4" s="36"/>
      <c r="D4" s="49"/>
      <c r="E4" s="49"/>
      <c r="F4" s="32">
        <f t="shared" si="0"/>
        <v>0</v>
      </c>
      <c r="G4" s="47"/>
      <c r="H4" s="37"/>
    </row>
    <row r="5" spans="1:8" x14ac:dyDescent="0.3">
      <c r="A5" s="33" t="s">
        <v>11</v>
      </c>
      <c r="B5" s="35" t="s">
        <v>37</v>
      </c>
      <c r="C5" s="36"/>
      <c r="D5" s="49"/>
      <c r="E5" s="49"/>
      <c r="F5" s="32">
        <f t="shared" si="0"/>
        <v>0</v>
      </c>
      <c r="G5" s="47"/>
      <c r="H5" s="37"/>
    </row>
    <row r="6" spans="1:8" x14ac:dyDescent="0.3">
      <c r="A6" s="33" t="s">
        <v>12</v>
      </c>
      <c r="B6" s="35" t="s">
        <v>54</v>
      </c>
      <c r="C6" s="36"/>
      <c r="D6" s="49"/>
      <c r="E6" s="49"/>
      <c r="F6" s="32">
        <f t="shared" si="0"/>
        <v>0</v>
      </c>
      <c r="G6" s="47"/>
      <c r="H6" s="37"/>
    </row>
    <row r="7" spans="1:8" x14ac:dyDescent="0.3">
      <c r="A7" s="33" t="s">
        <v>13</v>
      </c>
      <c r="B7" s="35" t="s">
        <v>55</v>
      </c>
      <c r="C7" s="36"/>
      <c r="D7" s="49"/>
      <c r="E7" s="49"/>
      <c r="F7" s="32">
        <f t="shared" si="0"/>
        <v>0</v>
      </c>
      <c r="G7" s="47"/>
      <c r="H7" s="37"/>
    </row>
    <row r="8" spans="1:8" x14ac:dyDescent="0.3">
      <c r="A8" s="33" t="s">
        <v>14</v>
      </c>
      <c r="B8" s="35" t="s">
        <v>56</v>
      </c>
      <c r="C8" s="36"/>
      <c r="D8" s="49"/>
      <c r="E8" s="49"/>
      <c r="F8" s="32">
        <f t="shared" si="0"/>
        <v>0</v>
      </c>
      <c r="G8" s="47"/>
      <c r="H8" s="37"/>
    </row>
    <row r="9" spans="1:8" x14ac:dyDescent="0.3">
      <c r="A9" s="33" t="s">
        <v>15</v>
      </c>
      <c r="B9" s="35" t="s">
        <v>57</v>
      </c>
      <c r="C9" s="36"/>
      <c r="D9" s="49"/>
      <c r="E9" s="49"/>
      <c r="F9" s="32">
        <f t="shared" si="0"/>
        <v>0</v>
      </c>
      <c r="G9" s="47"/>
      <c r="H9" s="37"/>
    </row>
    <row r="10" spans="1:8" x14ac:dyDescent="0.3">
      <c r="A10" s="33" t="s">
        <v>16</v>
      </c>
      <c r="B10" s="35"/>
      <c r="C10" s="36"/>
      <c r="D10" s="49"/>
      <c r="E10" s="49"/>
      <c r="F10" s="32">
        <f t="shared" si="0"/>
        <v>0</v>
      </c>
      <c r="G10" s="47"/>
      <c r="H10" s="37"/>
    </row>
    <row r="11" spans="1:8" x14ac:dyDescent="0.3">
      <c r="A11" s="33" t="s">
        <v>17</v>
      </c>
      <c r="B11" s="34"/>
      <c r="C11" s="34"/>
      <c r="D11" s="50"/>
      <c r="E11" s="50"/>
      <c r="F11" s="32">
        <f t="shared" si="0"/>
        <v>0</v>
      </c>
      <c r="G11" s="47"/>
      <c r="H11" s="34"/>
    </row>
    <row r="12" spans="1:8" x14ac:dyDescent="0.3">
      <c r="A12" s="33" t="s">
        <v>18</v>
      </c>
      <c r="B12" s="34"/>
      <c r="C12" s="34"/>
      <c r="D12" s="50"/>
      <c r="E12" s="50"/>
      <c r="F12" s="32">
        <f t="shared" si="0"/>
        <v>0</v>
      </c>
      <c r="G12" s="47"/>
      <c r="H12" s="34"/>
    </row>
    <row r="13" spans="1:8" x14ac:dyDescent="0.3">
      <c r="A13" s="33" t="s">
        <v>19</v>
      </c>
      <c r="B13" s="34"/>
      <c r="C13" s="34"/>
      <c r="D13" s="50"/>
      <c r="E13" s="50"/>
      <c r="F13" s="32">
        <f t="shared" si="0"/>
        <v>0</v>
      </c>
      <c r="G13" s="47"/>
      <c r="H13" s="34"/>
    </row>
    <row r="14" spans="1:8" x14ac:dyDescent="0.3">
      <c r="A14" s="33" t="s">
        <v>20</v>
      </c>
      <c r="B14" s="34"/>
      <c r="C14" s="34"/>
      <c r="D14" s="50"/>
      <c r="E14" s="50"/>
      <c r="F14" s="32">
        <f t="shared" si="0"/>
        <v>0</v>
      </c>
      <c r="G14" s="47"/>
      <c r="H14" s="34"/>
    </row>
    <row r="15" spans="1:8" x14ac:dyDescent="0.3">
      <c r="A15" s="33" t="s">
        <v>21</v>
      </c>
      <c r="B15" s="34"/>
      <c r="C15" s="34"/>
      <c r="D15" s="50"/>
      <c r="E15" s="50"/>
      <c r="F15" s="32">
        <f t="shared" si="0"/>
        <v>0</v>
      </c>
      <c r="G15" s="47"/>
      <c r="H15" s="34"/>
    </row>
    <row r="16" spans="1:8" x14ac:dyDescent="0.3">
      <c r="A16" s="33" t="s">
        <v>22</v>
      </c>
      <c r="B16" s="34"/>
      <c r="C16" s="34"/>
      <c r="D16" s="50"/>
      <c r="E16" s="50"/>
      <c r="F16" s="32">
        <f t="shared" si="0"/>
        <v>0</v>
      </c>
      <c r="G16" s="47"/>
      <c r="H16" s="34"/>
    </row>
    <row r="17" spans="1:8" x14ac:dyDescent="0.3">
      <c r="A17" s="33" t="s">
        <v>23</v>
      </c>
      <c r="B17" s="34"/>
      <c r="C17" s="34"/>
      <c r="D17" s="50"/>
      <c r="E17" s="50"/>
      <c r="F17" s="32">
        <f t="shared" si="0"/>
        <v>0</v>
      </c>
      <c r="G17" s="47"/>
      <c r="H17" s="34"/>
    </row>
    <row r="18" spans="1:8" x14ac:dyDescent="0.3">
      <c r="A18" s="33" t="s">
        <v>24</v>
      </c>
      <c r="B18" s="34"/>
      <c r="C18" s="34"/>
      <c r="D18" s="50"/>
      <c r="E18" s="50"/>
      <c r="F18" s="32">
        <f t="shared" si="0"/>
        <v>0</v>
      </c>
      <c r="G18" s="47"/>
      <c r="H18" s="34"/>
    </row>
    <row r="19" spans="1:8" x14ac:dyDescent="0.3">
      <c r="A19" s="33" t="s">
        <v>25</v>
      </c>
      <c r="B19" s="34"/>
      <c r="C19" s="34"/>
      <c r="D19" s="50"/>
      <c r="E19" s="50"/>
      <c r="F19" s="32">
        <f t="shared" si="0"/>
        <v>0</v>
      </c>
      <c r="G19" s="47"/>
      <c r="H19" s="34"/>
    </row>
    <row r="20" spans="1:8" ht="15" customHeight="1" x14ac:dyDescent="0.3">
      <c r="A20" s="33" t="s">
        <v>26</v>
      </c>
      <c r="B20" s="34"/>
      <c r="C20" s="34"/>
      <c r="D20" s="50"/>
      <c r="E20" s="50"/>
      <c r="F20" s="32">
        <f t="shared" si="0"/>
        <v>0</v>
      </c>
      <c r="G20" s="47"/>
      <c r="H20" s="34"/>
    </row>
    <row r="21" spans="1:8" ht="15" customHeight="1" thickBot="1" x14ac:dyDescent="0.35">
      <c r="A21" s="39" t="s">
        <v>27</v>
      </c>
      <c r="B21" s="53" t="s">
        <v>58</v>
      </c>
      <c r="C21" s="40"/>
      <c r="D21" s="51"/>
      <c r="E21" s="52"/>
      <c r="F21" s="46">
        <f t="shared" si="0"/>
        <v>0</v>
      </c>
      <c r="G21" s="47"/>
      <c r="H21" s="40"/>
    </row>
    <row r="22" spans="1:8" ht="15.75" customHeight="1" thickBot="1" x14ac:dyDescent="0.35">
      <c r="A22" s="45"/>
      <c r="B22" s="41"/>
      <c r="C22" s="44"/>
      <c r="D22" s="42"/>
      <c r="E22" s="38" t="s">
        <v>5</v>
      </c>
      <c r="F22" s="44">
        <f>SUM(F2:F21)</f>
        <v>0</v>
      </c>
      <c r="G22" s="43"/>
      <c r="H22" s="44"/>
    </row>
    <row r="31" spans="1:8" x14ac:dyDescent="0.3">
      <c r="B31" s="25"/>
    </row>
    <row r="32" spans="1:8" x14ac:dyDescent="0.3">
      <c r="B32" s="25"/>
      <c r="C32" s="25"/>
    </row>
    <row r="33" spans="2:2" x14ac:dyDescent="0.3">
      <c r="B33" s="25"/>
    </row>
  </sheetData>
  <conditionalFormatting sqref="C2:C10">
    <cfRule type="containsText" dxfId="11" priority="4" operator="containsText" text="Low">
      <formula>NOT(ISERROR(SEARCH("Low",C2)))</formula>
    </cfRule>
    <cfRule type="containsText" dxfId="10" priority="5" operator="containsText" text="Medium">
      <formula>NOT(ISERROR(SEARCH("Medium",C2)))</formula>
    </cfRule>
    <cfRule type="containsText" dxfId="9" priority="6" operator="containsText" text="High">
      <formula>NOT(ISERROR(SEARCH("High",C2)))</formula>
    </cfRule>
  </conditionalFormatting>
  <conditionalFormatting sqref="G2:G21">
    <cfRule type="expression" dxfId="8" priority="1">
      <formula>SEARCH("In-Progress", G2)</formula>
    </cfRule>
    <cfRule type="expression" dxfId="7" priority="2">
      <formula>SEARCH("Incomplete", G2)</formula>
    </cfRule>
    <cfRule type="expression" dxfId="6" priority="3">
      <formula>SEARCH("Completed", G2)</formula>
    </cfRule>
  </conditionalFormatting>
  <dataValidations count="2">
    <dataValidation type="list" allowBlank="1" showInputMessage="1" showErrorMessage="1" sqref="C2:C17" xr:uid="{00000000-0002-0000-0300-000000000000}">
      <formula1>"High,Medium,Low"</formula1>
    </dataValidation>
    <dataValidation type="list" allowBlank="1" showInputMessage="1" showErrorMessage="1" sqref="D18:E20 G2:G21 H18:H20" xr:uid="{00000000-0002-0000-0300-000001000000}">
      <formula1>"Completed, Incomplete, In-Progress"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topLeftCell="A12" workbookViewId="0">
      <selection activeCell="A26" sqref="A26:B34"/>
    </sheetView>
  </sheetViews>
  <sheetFormatPr defaultRowHeight="14.4" x14ac:dyDescent="0.3"/>
  <cols>
    <col min="1" max="1" width="6.88671875" bestFit="1" customWidth="1"/>
    <col min="2" max="2" width="57.33203125" customWidth="1"/>
    <col min="3" max="3" width="10.33203125" customWidth="1"/>
    <col min="4" max="7" width="11.88671875" customWidth="1"/>
    <col min="8" max="8" width="16.109375" customWidth="1"/>
  </cols>
  <sheetData>
    <row r="1" spans="1:8" ht="15.75" customHeight="1" thickBot="1" x14ac:dyDescent="0.35">
      <c r="A1" s="26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7" t="s">
        <v>7</v>
      </c>
    </row>
    <row r="2" spans="1:8" x14ac:dyDescent="0.3">
      <c r="A2" s="29" t="s">
        <v>8</v>
      </c>
      <c r="B2" s="30" t="s">
        <v>33</v>
      </c>
      <c r="C2" s="31"/>
      <c r="D2" s="48"/>
      <c r="E2" s="48"/>
      <c r="F2" s="32">
        <f t="shared" ref="F2:F21" si="0">E2-D2</f>
        <v>0</v>
      </c>
      <c r="G2" s="47"/>
      <c r="H2" s="32"/>
    </row>
    <row r="3" spans="1:8" x14ac:dyDescent="0.3">
      <c r="A3" s="33" t="s">
        <v>9</v>
      </c>
      <c r="B3" s="35" t="s">
        <v>35</v>
      </c>
      <c r="C3" s="36"/>
      <c r="D3" s="49"/>
      <c r="E3" s="49"/>
      <c r="F3" s="32">
        <f t="shared" si="0"/>
        <v>0</v>
      </c>
      <c r="G3" s="47"/>
      <c r="H3" s="37"/>
    </row>
    <row r="4" spans="1:8" x14ac:dyDescent="0.3">
      <c r="A4" s="33" t="s">
        <v>10</v>
      </c>
      <c r="B4" s="35" t="s">
        <v>36</v>
      </c>
      <c r="C4" s="36"/>
      <c r="D4" s="49"/>
      <c r="E4" s="49"/>
      <c r="F4" s="32">
        <f t="shared" si="0"/>
        <v>0</v>
      </c>
      <c r="G4" s="47"/>
      <c r="H4" s="37"/>
    </row>
    <row r="5" spans="1:8" x14ac:dyDescent="0.3">
      <c r="A5" s="33" t="s">
        <v>11</v>
      </c>
      <c r="B5" s="35" t="s">
        <v>59</v>
      </c>
      <c r="C5" s="36"/>
      <c r="D5" s="49"/>
      <c r="E5" s="49"/>
      <c r="F5" s="32">
        <f t="shared" si="0"/>
        <v>0</v>
      </c>
      <c r="G5" s="47"/>
      <c r="H5" s="37"/>
    </row>
    <row r="6" spans="1:8" x14ac:dyDescent="0.3">
      <c r="A6" s="33" t="s">
        <v>12</v>
      </c>
      <c r="B6" s="35" t="s">
        <v>54</v>
      </c>
      <c r="C6" s="36"/>
      <c r="D6" s="49"/>
      <c r="E6" s="49"/>
      <c r="F6" s="32">
        <f t="shared" si="0"/>
        <v>0</v>
      </c>
      <c r="G6" s="47"/>
      <c r="H6" s="37"/>
    </row>
    <row r="7" spans="1:8" x14ac:dyDescent="0.3">
      <c r="A7" s="33" t="s">
        <v>13</v>
      </c>
      <c r="B7" s="35" t="s">
        <v>55</v>
      </c>
      <c r="C7" s="36"/>
      <c r="D7" s="49"/>
      <c r="E7" s="49"/>
      <c r="F7" s="32">
        <f t="shared" si="0"/>
        <v>0</v>
      </c>
      <c r="G7" s="47"/>
      <c r="H7" s="37"/>
    </row>
    <row r="8" spans="1:8" x14ac:dyDescent="0.3">
      <c r="A8" s="33" t="s">
        <v>14</v>
      </c>
      <c r="B8" s="35" t="s">
        <v>56</v>
      </c>
      <c r="C8" s="36"/>
      <c r="D8" s="49"/>
      <c r="E8" s="49"/>
      <c r="F8" s="32">
        <f t="shared" si="0"/>
        <v>0</v>
      </c>
      <c r="G8" s="47"/>
      <c r="H8" s="37"/>
    </row>
    <row r="9" spans="1:8" x14ac:dyDescent="0.3">
      <c r="A9" s="33" t="s">
        <v>15</v>
      </c>
      <c r="B9" s="53" t="s">
        <v>58</v>
      </c>
      <c r="C9" s="36"/>
      <c r="D9" s="49"/>
      <c r="E9" s="49"/>
      <c r="F9" s="32">
        <f t="shared" si="0"/>
        <v>0</v>
      </c>
      <c r="G9" s="47"/>
      <c r="H9" s="37"/>
    </row>
    <row r="10" spans="1:8" x14ac:dyDescent="0.3">
      <c r="A10" s="33" t="s">
        <v>16</v>
      </c>
      <c r="B10" s="35"/>
      <c r="C10" s="36"/>
      <c r="D10" s="49"/>
      <c r="E10" s="49"/>
      <c r="F10" s="32">
        <f t="shared" si="0"/>
        <v>0</v>
      </c>
      <c r="G10" s="47"/>
      <c r="H10" s="37"/>
    </row>
    <row r="11" spans="1:8" x14ac:dyDescent="0.3">
      <c r="A11" s="33" t="s">
        <v>17</v>
      </c>
      <c r="B11" s="34"/>
      <c r="C11" s="34"/>
      <c r="D11" s="50"/>
      <c r="E11" s="50"/>
      <c r="F11" s="32">
        <f t="shared" si="0"/>
        <v>0</v>
      </c>
      <c r="G11" s="47"/>
      <c r="H11" s="34"/>
    </row>
    <row r="12" spans="1:8" x14ac:dyDescent="0.3">
      <c r="A12" s="33" t="s">
        <v>18</v>
      </c>
      <c r="B12" s="34"/>
      <c r="C12" s="34"/>
      <c r="D12" s="50"/>
      <c r="E12" s="50"/>
      <c r="F12" s="32">
        <f t="shared" si="0"/>
        <v>0</v>
      </c>
      <c r="G12" s="47"/>
      <c r="H12" s="34"/>
    </row>
    <row r="13" spans="1:8" x14ac:dyDescent="0.3">
      <c r="A13" s="33" t="s">
        <v>19</v>
      </c>
      <c r="B13" s="34"/>
      <c r="C13" s="34"/>
      <c r="D13" s="50"/>
      <c r="E13" s="50"/>
      <c r="F13" s="32">
        <f t="shared" si="0"/>
        <v>0</v>
      </c>
      <c r="G13" s="47"/>
      <c r="H13" s="34"/>
    </row>
    <row r="14" spans="1:8" x14ac:dyDescent="0.3">
      <c r="A14" s="33" t="s">
        <v>20</v>
      </c>
      <c r="B14" s="34"/>
      <c r="C14" s="34"/>
      <c r="D14" s="50"/>
      <c r="E14" s="50"/>
      <c r="F14" s="32">
        <f t="shared" si="0"/>
        <v>0</v>
      </c>
      <c r="G14" s="47"/>
      <c r="H14" s="34"/>
    </row>
    <row r="15" spans="1:8" x14ac:dyDescent="0.3">
      <c r="A15" s="33" t="s">
        <v>21</v>
      </c>
      <c r="B15" s="34"/>
      <c r="C15" s="34"/>
      <c r="D15" s="50"/>
      <c r="E15" s="50"/>
      <c r="F15" s="32">
        <f t="shared" si="0"/>
        <v>0</v>
      </c>
      <c r="G15" s="47"/>
      <c r="H15" s="34"/>
    </row>
    <row r="16" spans="1:8" x14ac:dyDescent="0.3">
      <c r="A16" s="33" t="s">
        <v>22</v>
      </c>
      <c r="B16" s="34"/>
      <c r="C16" s="34"/>
      <c r="D16" s="50"/>
      <c r="E16" s="50"/>
      <c r="F16" s="32">
        <f t="shared" si="0"/>
        <v>0</v>
      </c>
      <c r="G16" s="47"/>
      <c r="H16" s="34"/>
    </row>
    <row r="17" spans="1:8" x14ac:dyDescent="0.3">
      <c r="A17" s="33" t="s">
        <v>23</v>
      </c>
      <c r="B17" s="34"/>
      <c r="C17" s="34"/>
      <c r="D17" s="50"/>
      <c r="E17" s="50"/>
      <c r="F17" s="32">
        <f t="shared" si="0"/>
        <v>0</v>
      </c>
      <c r="G17" s="47"/>
      <c r="H17" s="34"/>
    </row>
    <row r="18" spans="1:8" x14ac:dyDescent="0.3">
      <c r="A18" s="33" t="s">
        <v>24</v>
      </c>
      <c r="B18" s="34"/>
      <c r="C18" s="34"/>
      <c r="D18" s="50"/>
      <c r="E18" s="50"/>
      <c r="F18" s="32">
        <f t="shared" si="0"/>
        <v>0</v>
      </c>
      <c r="G18" s="47"/>
      <c r="H18" s="34"/>
    </row>
    <row r="19" spans="1:8" x14ac:dyDescent="0.3">
      <c r="A19" s="33" t="s">
        <v>25</v>
      </c>
      <c r="B19" s="34"/>
      <c r="C19" s="34"/>
      <c r="D19" s="50"/>
      <c r="E19" s="50"/>
      <c r="F19" s="32">
        <f t="shared" si="0"/>
        <v>0</v>
      </c>
      <c r="G19" s="47"/>
      <c r="H19" s="34"/>
    </row>
    <row r="20" spans="1:8" ht="15" customHeight="1" x14ac:dyDescent="0.3">
      <c r="A20" s="33" t="s">
        <v>26</v>
      </c>
      <c r="B20" s="34"/>
      <c r="C20" s="34"/>
      <c r="D20" s="50"/>
      <c r="E20" s="50"/>
      <c r="F20" s="32">
        <f t="shared" si="0"/>
        <v>0</v>
      </c>
      <c r="G20" s="47"/>
      <c r="H20" s="34"/>
    </row>
    <row r="21" spans="1:8" ht="15" customHeight="1" thickBot="1" x14ac:dyDescent="0.35">
      <c r="A21" s="39" t="s">
        <v>27</v>
      </c>
      <c r="B21" s="53" t="s">
        <v>58</v>
      </c>
      <c r="C21" s="40"/>
      <c r="D21" s="51"/>
      <c r="E21" s="52"/>
      <c r="F21" s="46">
        <f t="shared" si="0"/>
        <v>0</v>
      </c>
      <c r="G21" s="47"/>
      <c r="H21" s="40"/>
    </row>
    <row r="22" spans="1:8" ht="15.75" customHeight="1" thickBot="1" x14ac:dyDescent="0.35">
      <c r="A22" s="45"/>
      <c r="B22" s="41"/>
      <c r="C22" s="44"/>
      <c r="D22" s="42"/>
      <c r="E22" s="38" t="s">
        <v>5</v>
      </c>
      <c r="F22" s="44">
        <f>SUM(F2:F21)</f>
        <v>0</v>
      </c>
      <c r="G22" s="43"/>
      <c r="H22" s="44"/>
    </row>
    <row r="26" spans="1:8" x14ac:dyDescent="0.3">
      <c r="A26" s="54" t="s">
        <v>0</v>
      </c>
      <c r="B26" s="54" t="s">
        <v>1</v>
      </c>
      <c r="C26" s="54" t="s">
        <v>60</v>
      </c>
    </row>
    <row r="27" spans="1:8" x14ac:dyDescent="0.3">
      <c r="A27" s="55" t="s">
        <v>8</v>
      </c>
      <c r="B27" s="56" t="s">
        <v>33</v>
      </c>
      <c r="C27" s="58">
        <v>1.388888888888889E-2</v>
      </c>
    </row>
    <row r="28" spans="1:8" x14ac:dyDescent="0.3">
      <c r="A28" s="55" t="s">
        <v>9</v>
      </c>
      <c r="B28" s="56" t="s">
        <v>35</v>
      </c>
      <c r="C28" s="58">
        <v>1.7361111111111108E-2</v>
      </c>
    </row>
    <row r="29" spans="1:8" x14ac:dyDescent="0.3">
      <c r="A29" s="55" t="s">
        <v>10</v>
      </c>
      <c r="B29" s="56" t="s">
        <v>61</v>
      </c>
      <c r="C29" s="58">
        <v>6.25E-2</v>
      </c>
    </row>
    <row r="30" spans="1:8" x14ac:dyDescent="0.3">
      <c r="A30" s="55" t="s">
        <v>11</v>
      </c>
      <c r="B30" s="56" t="s">
        <v>54</v>
      </c>
      <c r="C30" s="58">
        <v>6.25E-2</v>
      </c>
    </row>
    <row r="31" spans="1:8" x14ac:dyDescent="0.3">
      <c r="A31" s="55" t="s">
        <v>12</v>
      </c>
      <c r="B31" s="56" t="s">
        <v>55</v>
      </c>
      <c r="C31" s="58">
        <v>1.7361111111111108E-2</v>
      </c>
    </row>
    <row r="32" spans="1:8" x14ac:dyDescent="0.3">
      <c r="A32" s="55" t="s">
        <v>13</v>
      </c>
      <c r="B32" s="56" t="s">
        <v>56</v>
      </c>
      <c r="C32" s="58">
        <v>1.7361111111111108E-2</v>
      </c>
    </row>
    <row r="33" spans="1:3" x14ac:dyDescent="0.3">
      <c r="A33" s="55" t="s">
        <v>14</v>
      </c>
      <c r="B33" s="56" t="s">
        <v>62</v>
      </c>
      <c r="C33" s="58">
        <v>6.25E-2</v>
      </c>
    </row>
    <row r="34" spans="1:3" x14ac:dyDescent="0.3">
      <c r="A34" s="55" t="s">
        <v>15</v>
      </c>
      <c r="B34" s="57" t="s">
        <v>58</v>
      </c>
      <c r="C34" s="58">
        <v>5.2083333333333343E-2</v>
      </c>
    </row>
    <row r="35" spans="1:3" x14ac:dyDescent="0.3">
      <c r="C35" s="59">
        <f>SUM(C27:C34)</f>
        <v>0.30555555555555558</v>
      </c>
    </row>
  </sheetData>
  <conditionalFormatting sqref="C2:C10">
    <cfRule type="containsText" dxfId="5" priority="7" operator="containsText" text="Low">
      <formula>NOT(ISERROR(SEARCH("Low",C2)))</formula>
    </cfRule>
    <cfRule type="containsText" dxfId="4" priority="8" operator="containsText" text="Medium">
      <formula>NOT(ISERROR(SEARCH("Medium",C2)))</formula>
    </cfRule>
    <cfRule type="containsText" dxfId="3" priority="9" operator="containsText" text="High">
      <formula>NOT(ISERROR(SEARCH("High",C2)))</formula>
    </cfRule>
  </conditionalFormatting>
  <conditionalFormatting sqref="G2:G21">
    <cfRule type="expression" dxfId="2" priority="4">
      <formula>SEARCH("In-Progress", G2)</formula>
    </cfRule>
    <cfRule type="expression" dxfId="1" priority="5">
      <formula>SEARCH("Incomplete", G2)</formula>
    </cfRule>
    <cfRule type="expression" dxfId="0" priority="6">
      <formula>SEARCH("Completed", G2)</formula>
    </cfRule>
  </conditionalFormatting>
  <dataValidations count="2">
    <dataValidation type="list" allowBlank="1" showInputMessage="1" showErrorMessage="1" sqref="D18:E20 G2:G21 H18:H20" xr:uid="{00000000-0002-0000-0400-000000000000}">
      <formula1>"Completed, Incomplete, In-Progress"</formula1>
    </dataValidation>
    <dataValidation type="list" allowBlank="1" showInputMessage="1" showErrorMessage="1" sqref="C2:C17" xr:uid="{00000000-0002-0000-0400-000001000000}">
      <formula1>"High,Medium,Low"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tabSelected="1" topLeftCell="A9" workbookViewId="0">
      <selection activeCell="G34" sqref="G34"/>
    </sheetView>
  </sheetViews>
  <sheetFormatPr defaultRowHeight="14.4" x14ac:dyDescent="0.3"/>
  <cols>
    <col min="1" max="1" width="6.88671875" bestFit="1" customWidth="1"/>
    <col min="2" max="2" width="57.33203125" customWidth="1"/>
    <col min="3" max="3" width="10.33203125" customWidth="1"/>
    <col min="4" max="7" width="11.88671875" customWidth="1"/>
    <col min="8" max="8" width="16.109375" customWidth="1"/>
  </cols>
  <sheetData>
    <row r="1" spans="1:8" ht="15.75" customHeight="1" thickBot="1" x14ac:dyDescent="0.35">
      <c r="A1" s="26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7" t="s">
        <v>7</v>
      </c>
    </row>
    <row r="2" spans="1:8" x14ac:dyDescent="0.3">
      <c r="A2" s="29" t="s">
        <v>8</v>
      </c>
      <c r="B2" s="30"/>
      <c r="C2" s="31"/>
      <c r="D2" s="48"/>
      <c r="E2" s="48"/>
      <c r="F2" s="32">
        <f t="shared" ref="F2:F21" si="0">E2-D2</f>
        <v>0</v>
      </c>
      <c r="G2" s="47"/>
      <c r="H2" s="32"/>
    </row>
    <row r="3" spans="1:8" x14ac:dyDescent="0.3">
      <c r="A3" s="33" t="s">
        <v>9</v>
      </c>
      <c r="B3" s="35"/>
      <c r="C3" s="36"/>
      <c r="D3" s="49"/>
      <c r="E3" s="49"/>
      <c r="F3" s="32">
        <f t="shared" si="0"/>
        <v>0</v>
      </c>
      <c r="G3" s="47"/>
      <c r="H3" s="37"/>
    </row>
    <row r="4" spans="1:8" x14ac:dyDescent="0.3">
      <c r="A4" s="33" t="s">
        <v>10</v>
      </c>
      <c r="B4" s="35"/>
      <c r="C4" s="36"/>
      <c r="D4" s="49"/>
      <c r="E4" s="49"/>
      <c r="F4" s="32">
        <f t="shared" si="0"/>
        <v>0</v>
      </c>
      <c r="G4" s="47"/>
      <c r="H4" s="37"/>
    </row>
    <row r="5" spans="1:8" x14ac:dyDescent="0.3">
      <c r="A5" s="33" t="s">
        <v>11</v>
      </c>
      <c r="B5" s="35"/>
      <c r="C5" s="36"/>
      <c r="D5" s="49"/>
      <c r="E5" s="49"/>
      <c r="F5" s="32">
        <f t="shared" si="0"/>
        <v>0</v>
      </c>
      <c r="G5" s="47"/>
      <c r="H5" s="37"/>
    </row>
    <row r="6" spans="1:8" x14ac:dyDescent="0.3">
      <c r="A6" s="33" t="s">
        <v>12</v>
      </c>
      <c r="B6" s="35"/>
      <c r="C6" s="36"/>
      <c r="D6" s="49"/>
      <c r="E6" s="49"/>
      <c r="F6" s="32">
        <f t="shared" si="0"/>
        <v>0</v>
      </c>
      <c r="G6" s="47"/>
      <c r="H6" s="37"/>
    </row>
    <row r="7" spans="1:8" x14ac:dyDescent="0.3">
      <c r="A7" s="33" t="s">
        <v>13</v>
      </c>
      <c r="B7" s="35"/>
      <c r="C7" s="36"/>
      <c r="D7" s="49"/>
      <c r="E7" s="49"/>
      <c r="F7" s="32">
        <f t="shared" si="0"/>
        <v>0</v>
      </c>
      <c r="G7" s="47"/>
      <c r="H7" s="37"/>
    </row>
    <row r="8" spans="1:8" x14ac:dyDescent="0.3">
      <c r="A8" s="33" t="s">
        <v>14</v>
      </c>
      <c r="B8" s="35"/>
      <c r="C8" s="36"/>
      <c r="D8" s="49"/>
      <c r="E8" s="49"/>
      <c r="F8" s="32">
        <f t="shared" si="0"/>
        <v>0</v>
      </c>
      <c r="G8" s="47"/>
      <c r="H8" s="37"/>
    </row>
    <row r="9" spans="1:8" x14ac:dyDescent="0.3">
      <c r="A9" s="33" t="s">
        <v>15</v>
      </c>
      <c r="B9" s="35"/>
      <c r="C9" s="36"/>
      <c r="D9" s="49"/>
      <c r="E9" s="49"/>
      <c r="F9" s="32">
        <f t="shared" si="0"/>
        <v>0</v>
      </c>
      <c r="G9" s="47"/>
      <c r="H9" s="37"/>
    </row>
    <row r="10" spans="1:8" x14ac:dyDescent="0.3">
      <c r="A10" s="33" t="s">
        <v>16</v>
      </c>
      <c r="B10" s="35"/>
      <c r="C10" s="36"/>
      <c r="D10" s="49"/>
      <c r="E10" s="49"/>
      <c r="F10" s="32">
        <f t="shared" si="0"/>
        <v>0</v>
      </c>
      <c r="G10" s="47"/>
      <c r="H10" s="37"/>
    </row>
    <row r="11" spans="1:8" x14ac:dyDescent="0.3">
      <c r="A11" s="33" t="s">
        <v>17</v>
      </c>
      <c r="B11" s="34"/>
      <c r="C11" s="34"/>
      <c r="D11" s="50"/>
      <c r="E11" s="50"/>
      <c r="F11" s="32">
        <f t="shared" si="0"/>
        <v>0</v>
      </c>
      <c r="G11" s="47"/>
      <c r="H11" s="34"/>
    </row>
    <row r="12" spans="1:8" x14ac:dyDescent="0.3">
      <c r="A12" s="33" t="s">
        <v>18</v>
      </c>
      <c r="B12" s="34"/>
      <c r="C12" s="34"/>
      <c r="D12" s="50"/>
      <c r="E12" s="50"/>
      <c r="F12" s="32">
        <f t="shared" si="0"/>
        <v>0</v>
      </c>
      <c r="G12" s="47"/>
      <c r="H12" s="34"/>
    </row>
    <row r="13" spans="1:8" x14ac:dyDescent="0.3">
      <c r="A13" s="33" t="s">
        <v>19</v>
      </c>
      <c r="B13" s="34"/>
      <c r="C13" s="34"/>
      <c r="D13" s="50"/>
      <c r="E13" s="50"/>
      <c r="F13" s="32">
        <f t="shared" si="0"/>
        <v>0</v>
      </c>
      <c r="G13" s="47"/>
      <c r="H13" s="34"/>
    </row>
    <row r="14" spans="1:8" x14ac:dyDescent="0.3">
      <c r="A14" s="33" t="s">
        <v>20</v>
      </c>
      <c r="B14" s="34"/>
      <c r="C14" s="34"/>
      <c r="D14" s="50"/>
      <c r="E14" s="50"/>
      <c r="F14" s="32">
        <f t="shared" si="0"/>
        <v>0</v>
      </c>
      <c r="G14" s="47"/>
      <c r="H14" s="34"/>
    </row>
    <row r="15" spans="1:8" x14ac:dyDescent="0.3">
      <c r="A15" s="33" t="s">
        <v>21</v>
      </c>
      <c r="B15" s="34"/>
      <c r="C15" s="34"/>
      <c r="D15" s="50"/>
      <c r="E15" s="50"/>
      <c r="F15" s="32">
        <f t="shared" si="0"/>
        <v>0</v>
      </c>
      <c r="G15" s="47"/>
      <c r="H15" s="34"/>
    </row>
    <row r="16" spans="1:8" x14ac:dyDescent="0.3">
      <c r="A16" s="33" t="s">
        <v>22</v>
      </c>
      <c r="B16" s="34"/>
      <c r="C16" s="34"/>
      <c r="D16" s="50"/>
      <c r="E16" s="50"/>
      <c r="F16" s="32">
        <f t="shared" si="0"/>
        <v>0</v>
      </c>
      <c r="G16" s="47"/>
      <c r="H16" s="34"/>
    </row>
    <row r="17" spans="1:8" x14ac:dyDescent="0.3">
      <c r="A17" s="33" t="s">
        <v>23</v>
      </c>
      <c r="B17" s="34"/>
      <c r="C17" s="34"/>
      <c r="D17" s="50"/>
      <c r="E17" s="50"/>
      <c r="F17" s="32">
        <f t="shared" si="0"/>
        <v>0</v>
      </c>
      <c r="G17" s="47"/>
      <c r="H17" s="34"/>
    </row>
    <row r="18" spans="1:8" x14ac:dyDescent="0.3">
      <c r="A18" s="33" t="s">
        <v>24</v>
      </c>
      <c r="B18" s="34"/>
      <c r="C18" s="34"/>
      <c r="D18" s="50"/>
      <c r="E18" s="50"/>
      <c r="F18" s="32">
        <f t="shared" si="0"/>
        <v>0</v>
      </c>
      <c r="G18" s="47"/>
      <c r="H18" s="34"/>
    </row>
    <row r="19" spans="1:8" x14ac:dyDescent="0.3">
      <c r="A19" s="33" t="s">
        <v>25</v>
      </c>
      <c r="B19" s="34"/>
      <c r="C19" s="34"/>
      <c r="D19" s="50"/>
      <c r="E19" s="50"/>
      <c r="F19" s="32">
        <f t="shared" si="0"/>
        <v>0</v>
      </c>
      <c r="G19" s="47"/>
      <c r="H19" s="34"/>
    </row>
    <row r="20" spans="1:8" ht="15" customHeight="1" x14ac:dyDescent="0.3">
      <c r="A20" s="33" t="s">
        <v>26</v>
      </c>
      <c r="B20" s="34"/>
      <c r="C20" s="34"/>
      <c r="D20" s="50"/>
      <c r="E20" s="50"/>
      <c r="F20" s="32">
        <f t="shared" si="0"/>
        <v>0</v>
      </c>
      <c r="G20" s="47"/>
      <c r="H20" s="34"/>
    </row>
    <row r="21" spans="1:8" ht="15" customHeight="1" thickBot="1" x14ac:dyDescent="0.35">
      <c r="A21" s="39" t="s">
        <v>27</v>
      </c>
      <c r="B21" s="40"/>
      <c r="C21" s="40"/>
      <c r="D21" s="51"/>
      <c r="E21" s="52"/>
      <c r="F21" s="46">
        <f t="shared" si="0"/>
        <v>0</v>
      </c>
      <c r="G21" s="47"/>
      <c r="H21" s="40"/>
    </row>
    <row r="22" spans="1:8" ht="15.75" customHeight="1" thickBot="1" x14ac:dyDescent="0.35">
      <c r="A22" s="45"/>
      <c r="B22" s="41"/>
      <c r="C22" s="44"/>
      <c r="D22" s="42"/>
      <c r="E22" s="38" t="s">
        <v>5</v>
      </c>
      <c r="F22" s="44">
        <f>SUM(F2:F21)</f>
        <v>0</v>
      </c>
      <c r="G22" s="43"/>
      <c r="H22" s="44"/>
    </row>
    <row r="26" spans="1:8" x14ac:dyDescent="0.3">
      <c r="A26" s="54" t="s">
        <v>0</v>
      </c>
      <c r="B26" s="54" t="s">
        <v>1</v>
      </c>
    </row>
    <row r="27" spans="1:8" x14ac:dyDescent="0.3">
      <c r="A27" s="55" t="s">
        <v>8</v>
      </c>
      <c r="B27" s="56" t="s">
        <v>33</v>
      </c>
    </row>
    <row r="28" spans="1:8" x14ac:dyDescent="0.3">
      <c r="A28" s="55" t="s">
        <v>9</v>
      </c>
      <c r="B28" s="56" t="s">
        <v>35</v>
      </c>
    </row>
    <row r="29" spans="1:8" x14ac:dyDescent="0.3">
      <c r="A29" s="55" t="s">
        <v>10</v>
      </c>
      <c r="B29" s="56" t="s">
        <v>63</v>
      </c>
    </row>
    <row r="30" spans="1:8" x14ac:dyDescent="0.3">
      <c r="A30" s="55" t="s">
        <v>11</v>
      </c>
      <c r="B30" s="56" t="s">
        <v>61</v>
      </c>
    </row>
    <row r="31" spans="1:8" x14ac:dyDescent="0.3">
      <c r="A31" s="55" t="s">
        <v>12</v>
      </c>
      <c r="B31" s="56" t="s">
        <v>64</v>
      </c>
    </row>
    <row r="32" spans="1:8" x14ac:dyDescent="0.3">
      <c r="A32" s="55" t="s">
        <v>13</v>
      </c>
      <c r="B32" s="56" t="s">
        <v>65</v>
      </c>
    </row>
    <row r="33" spans="1:2" x14ac:dyDescent="0.3">
      <c r="A33" s="55" t="s">
        <v>14</v>
      </c>
      <c r="B33" s="56" t="s">
        <v>66</v>
      </c>
    </row>
    <row r="34" spans="1:2" x14ac:dyDescent="0.3">
      <c r="A34" s="55" t="s">
        <v>15</v>
      </c>
      <c r="B34" s="5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day_month</vt:lpstr>
      <vt:lpstr>5th_June</vt:lpstr>
      <vt:lpstr>6th_June</vt:lpstr>
      <vt:lpstr>9th_June</vt:lpstr>
      <vt:lpstr>11th_June</vt:lpstr>
      <vt:lpstr>3rd_July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2025-07-04T02:03:09Z</dcterms:modified>
</cp:coreProperties>
</file>