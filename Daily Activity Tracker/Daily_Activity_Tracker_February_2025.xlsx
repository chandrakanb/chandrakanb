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chandrakanb\chandrakanb\Daily Activity Tracker\"/>
    </mc:Choice>
  </mc:AlternateContent>
  <xr:revisionPtr revIDLastSave="0" documentId="13_ncr:1_{BFBADBAB-7B3F-4FF2-90A6-939D1AFAB2C5}" xr6:coauthVersionLast="47" xr6:coauthVersionMax="47" xr10:uidLastSave="{00000000-0000-0000-0000-000000000000}"/>
  <bookViews>
    <workbookView xWindow="-108" yWindow="-108" windowWidth="23256" windowHeight="12456" firstSheet="5" activeTab="10" xr2:uid="{00000000-000D-0000-FFFF-FFFF00000000}"/>
  </bookViews>
  <sheets>
    <sheet name="day_month" sheetId="1" r:id="rId1"/>
    <sheet name="3rd_February" sheetId="2" r:id="rId2"/>
    <sheet name="4th_February" sheetId="3" r:id="rId3"/>
    <sheet name="5th_February" sheetId="4" r:id="rId4"/>
    <sheet name="6th_February" sheetId="5" r:id="rId5"/>
    <sheet name="10th_February" sheetId="6" r:id="rId6"/>
    <sheet name="11th_February" sheetId="7" r:id="rId7"/>
    <sheet name="12th_February" sheetId="8" r:id="rId8"/>
    <sheet name="17th_February" sheetId="9" r:id="rId9"/>
    <sheet name="18th_February" sheetId="10" r:id="rId10"/>
    <sheet name="19th_February" sheetId="11" r:id="rId11"/>
    <sheet name="20th_February" sheetId="12" r:id="rId12"/>
    <sheet name="21st_February" sheetId="13" r:id="rId13"/>
    <sheet name="23rd_February" sheetId="14" r:id="rId14"/>
    <sheet name="24th_February" sheetId="15" r:id="rId15"/>
    <sheet name="25th_February" sheetId="16" r:id="rId16"/>
    <sheet name="26th_February" sheetId="17" r:id="rId17"/>
    <sheet name="27th_February" sheetId="18" r:id="rId18"/>
    <sheet name="SundaySupport" sheetId="19" r:id="rId19"/>
    <sheet name="Comments" sheetId="20" r:id="rId20"/>
    <sheet name="Sheet4" sheetId="21" r:id="rId21"/>
    <sheet name="Sheet2" sheetId="22" r:id="rId22"/>
    <sheet name="28th_February"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23" l="1"/>
  <c r="A21" i="23"/>
  <c r="F20" i="23"/>
  <c r="A20" i="23"/>
  <c r="F19" i="23"/>
  <c r="A19" i="23"/>
  <c r="F18" i="23"/>
  <c r="A18" i="23"/>
  <c r="F17" i="23"/>
  <c r="A17" i="23"/>
  <c r="F16" i="23"/>
  <c r="A16" i="23"/>
  <c r="F15" i="23"/>
  <c r="A15" i="23"/>
  <c r="F14" i="23"/>
  <c r="A14" i="23"/>
  <c r="F13" i="23"/>
  <c r="A13" i="23"/>
  <c r="F12" i="23"/>
  <c r="A12" i="23"/>
  <c r="F11" i="23"/>
  <c r="A11" i="23"/>
  <c r="F10" i="23"/>
  <c r="A10" i="23"/>
  <c r="F9" i="23"/>
  <c r="A9" i="23"/>
  <c r="F8" i="23"/>
  <c r="A8" i="23"/>
  <c r="F7" i="23"/>
  <c r="A7" i="23"/>
  <c r="F6" i="23"/>
  <c r="A6" i="23"/>
  <c r="F5" i="23"/>
  <c r="A5" i="23"/>
  <c r="F4" i="23"/>
  <c r="A4" i="23"/>
  <c r="F3" i="23"/>
  <c r="A3" i="23"/>
  <c r="F2" i="23"/>
  <c r="F22" i="23" s="1"/>
  <c r="A2" i="23"/>
  <c r="G62" i="19"/>
  <c r="F21" i="18"/>
  <c r="A21" i="18"/>
  <c r="F20" i="18"/>
  <c r="A20" i="18"/>
  <c r="F19" i="18"/>
  <c r="A19" i="18"/>
  <c r="F18" i="18"/>
  <c r="A18" i="18"/>
  <c r="F17" i="18"/>
  <c r="A17" i="18"/>
  <c r="F16" i="18"/>
  <c r="A16" i="18"/>
  <c r="F15" i="18"/>
  <c r="A15" i="18"/>
  <c r="F14" i="18"/>
  <c r="A14" i="18"/>
  <c r="F13" i="18"/>
  <c r="A13" i="18"/>
  <c r="F12" i="18"/>
  <c r="A12" i="18"/>
  <c r="F11" i="18"/>
  <c r="A11" i="18"/>
  <c r="F10" i="18"/>
  <c r="A10" i="18"/>
  <c r="F9" i="18"/>
  <c r="A9" i="18"/>
  <c r="F8" i="18"/>
  <c r="A8" i="18"/>
  <c r="F7" i="18"/>
  <c r="A7" i="18"/>
  <c r="F6" i="18"/>
  <c r="A6" i="18"/>
  <c r="F5" i="18"/>
  <c r="A5" i="18"/>
  <c r="F4" i="18"/>
  <c r="A4" i="18"/>
  <c r="F3" i="18"/>
  <c r="A3" i="18"/>
  <c r="F2" i="18"/>
  <c r="F22" i="18" s="1"/>
  <c r="A2" i="18"/>
  <c r="F22" i="17"/>
  <c r="F21" i="17"/>
  <c r="A21" i="17"/>
  <c r="F20" i="17"/>
  <c r="A20" i="17"/>
  <c r="F19" i="17"/>
  <c r="A19" i="17"/>
  <c r="F18" i="17"/>
  <c r="A18" i="17"/>
  <c r="F17" i="17"/>
  <c r="A17" i="17"/>
  <c r="F16" i="17"/>
  <c r="A16" i="17"/>
  <c r="F15" i="17"/>
  <c r="A15" i="17"/>
  <c r="F14" i="17"/>
  <c r="A14" i="17"/>
  <c r="F13" i="17"/>
  <c r="A13" i="17"/>
  <c r="F12" i="17"/>
  <c r="A12" i="17"/>
  <c r="F11" i="17"/>
  <c r="A11" i="17"/>
  <c r="F10" i="17"/>
  <c r="A10" i="17"/>
  <c r="F9" i="17"/>
  <c r="A9" i="17"/>
  <c r="F8" i="17"/>
  <c r="A8" i="17"/>
  <c r="F7" i="17"/>
  <c r="A7" i="17"/>
  <c r="F6" i="17"/>
  <c r="A6" i="17"/>
  <c r="F5" i="17"/>
  <c r="A5" i="17"/>
  <c r="F4" i="17"/>
  <c r="A4" i="17"/>
  <c r="F3" i="17"/>
  <c r="A3" i="17"/>
  <c r="F2" i="17"/>
  <c r="A2" i="17"/>
  <c r="F21" i="16"/>
  <c r="A21" i="16"/>
  <c r="F20" i="16"/>
  <c r="A20" i="16"/>
  <c r="F19" i="16"/>
  <c r="A19" i="16"/>
  <c r="F18" i="16"/>
  <c r="A18" i="16"/>
  <c r="F17" i="16"/>
  <c r="A17" i="16"/>
  <c r="F16" i="16"/>
  <c r="A16" i="16"/>
  <c r="F15" i="16"/>
  <c r="A15" i="16"/>
  <c r="F14" i="16"/>
  <c r="A14" i="16"/>
  <c r="F13" i="16"/>
  <c r="A13" i="16"/>
  <c r="F12" i="16"/>
  <c r="A12" i="16"/>
  <c r="F11" i="16"/>
  <c r="A11" i="16"/>
  <c r="F10" i="16"/>
  <c r="A10" i="16"/>
  <c r="F9" i="16"/>
  <c r="A9" i="16"/>
  <c r="F8" i="16"/>
  <c r="A8" i="16"/>
  <c r="F7" i="16"/>
  <c r="A7" i="16"/>
  <c r="F6" i="16"/>
  <c r="A6" i="16"/>
  <c r="F5" i="16"/>
  <c r="A5" i="16"/>
  <c r="F4" i="16"/>
  <c r="A4" i="16"/>
  <c r="F3" i="16"/>
  <c r="A3" i="16"/>
  <c r="F2" i="16"/>
  <c r="F22" i="16" s="1"/>
  <c r="A2" i="16"/>
  <c r="F22" i="15"/>
  <c r="F21" i="15"/>
  <c r="A21" i="15"/>
  <c r="F20" i="15"/>
  <c r="A20" i="15"/>
  <c r="F19" i="15"/>
  <c r="A19" i="15"/>
  <c r="F18" i="15"/>
  <c r="A18" i="15"/>
  <c r="F17" i="15"/>
  <c r="A17" i="15"/>
  <c r="F16" i="15"/>
  <c r="A16" i="15"/>
  <c r="F15" i="15"/>
  <c r="A15" i="15"/>
  <c r="F14" i="15"/>
  <c r="A14" i="15"/>
  <c r="F13" i="15"/>
  <c r="A13" i="15"/>
  <c r="F12" i="15"/>
  <c r="A12" i="15"/>
  <c r="F11" i="15"/>
  <c r="A11" i="15"/>
  <c r="F10" i="15"/>
  <c r="A10" i="15"/>
  <c r="F9" i="15"/>
  <c r="A9" i="15"/>
  <c r="F8" i="15"/>
  <c r="A8" i="15"/>
  <c r="F7" i="15"/>
  <c r="A7" i="15"/>
  <c r="F6" i="15"/>
  <c r="A6" i="15"/>
  <c r="F5" i="15"/>
  <c r="A5" i="15"/>
  <c r="F4" i="15"/>
  <c r="A4" i="15"/>
  <c r="F3" i="15"/>
  <c r="A3" i="15"/>
  <c r="F2" i="15"/>
  <c r="A2" i="15"/>
  <c r="F21" i="13"/>
  <c r="A21" i="13"/>
  <c r="F20" i="13"/>
  <c r="A20" i="13"/>
  <c r="F19" i="13"/>
  <c r="A19" i="13"/>
  <c r="F18" i="13"/>
  <c r="A18" i="13"/>
  <c r="F17" i="13"/>
  <c r="A17" i="13"/>
  <c r="F16" i="13"/>
  <c r="A16" i="13"/>
  <c r="F15" i="13"/>
  <c r="A15" i="13"/>
  <c r="F14" i="13"/>
  <c r="A14" i="13"/>
  <c r="F13" i="13"/>
  <c r="A13" i="13"/>
  <c r="F12" i="13"/>
  <c r="A12" i="13"/>
  <c r="F11" i="13"/>
  <c r="A11" i="13"/>
  <c r="F10" i="13"/>
  <c r="A10" i="13"/>
  <c r="F9" i="13"/>
  <c r="A9" i="13"/>
  <c r="F8" i="13"/>
  <c r="A8" i="13"/>
  <c r="F7" i="13"/>
  <c r="A7" i="13"/>
  <c r="F6" i="13"/>
  <c r="A6" i="13"/>
  <c r="F5" i="13"/>
  <c r="A5" i="13"/>
  <c r="F4" i="13"/>
  <c r="F22" i="13" s="1"/>
  <c r="A4" i="13"/>
  <c r="F3" i="13"/>
  <c r="A3" i="13"/>
  <c r="F2" i="13"/>
  <c r="A2" i="13"/>
  <c r="C46" i="12"/>
  <c r="F21" i="12"/>
  <c r="A21" i="12"/>
  <c r="F20" i="12"/>
  <c r="A20" i="12"/>
  <c r="F19" i="12"/>
  <c r="A19" i="12"/>
  <c r="F18" i="12"/>
  <c r="A18" i="12"/>
  <c r="F17" i="12"/>
  <c r="A17" i="12"/>
  <c r="F16" i="12"/>
  <c r="A16" i="12"/>
  <c r="F15" i="12"/>
  <c r="A15" i="12"/>
  <c r="F14" i="12"/>
  <c r="A14" i="12"/>
  <c r="F13" i="12"/>
  <c r="A13" i="12"/>
  <c r="F12" i="12"/>
  <c r="A12" i="12"/>
  <c r="F11" i="12"/>
  <c r="A11" i="12"/>
  <c r="F10" i="12"/>
  <c r="A10" i="12"/>
  <c r="F9" i="12"/>
  <c r="A9" i="12"/>
  <c r="F8" i="12"/>
  <c r="A8" i="12"/>
  <c r="F7" i="12"/>
  <c r="A7" i="12"/>
  <c r="F6" i="12"/>
  <c r="A6" i="12"/>
  <c r="F5" i="12"/>
  <c r="A5" i="12"/>
  <c r="F4" i="12"/>
  <c r="A4" i="12"/>
  <c r="F3" i="12"/>
  <c r="A3" i="12"/>
  <c r="F2" i="12"/>
  <c r="F22" i="12" s="1"/>
  <c r="A2" i="12"/>
  <c r="C44" i="11"/>
  <c r="F21" i="11"/>
  <c r="A21" i="11"/>
  <c r="F20" i="11"/>
  <c r="A20" i="11"/>
  <c r="F19" i="11"/>
  <c r="A19" i="11"/>
  <c r="F18" i="11"/>
  <c r="A18" i="11"/>
  <c r="F17" i="11"/>
  <c r="A17" i="11"/>
  <c r="F16" i="11"/>
  <c r="A16" i="11"/>
  <c r="F15" i="11"/>
  <c r="A15" i="11"/>
  <c r="F14" i="11"/>
  <c r="A14" i="11"/>
  <c r="F13" i="11"/>
  <c r="A13" i="11"/>
  <c r="F12" i="11"/>
  <c r="A12" i="11"/>
  <c r="F11" i="11"/>
  <c r="A11" i="11"/>
  <c r="F10" i="11"/>
  <c r="A10" i="11"/>
  <c r="F9" i="11"/>
  <c r="A9" i="11"/>
  <c r="F8" i="11"/>
  <c r="A8" i="11"/>
  <c r="F7" i="11"/>
  <c r="A7" i="11"/>
  <c r="F6" i="11"/>
  <c r="A6" i="11"/>
  <c r="F5" i="11"/>
  <c r="F22" i="11" s="1"/>
  <c r="A5" i="11"/>
  <c r="A4" i="11"/>
  <c r="A3" i="11"/>
  <c r="A2" i="11"/>
  <c r="F21" i="10"/>
  <c r="A21" i="10"/>
  <c r="F20" i="10"/>
  <c r="A20" i="10"/>
  <c r="F19" i="10"/>
  <c r="A19" i="10"/>
  <c r="F18" i="10"/>
  <c r="A18" i="10"/>
  <c r="F17" i="10"/>
  <c r="A17" i="10"/>
  <c r="F16" i="10"/>
  <c r="A16" i="10"/>
  <c r="F15" i="10"/>
  <c r="A15" i="10"/>
  <c r="F14" i="10"/>
  <c r="A14" i="10"/>
  <c r="F13" i="10"/>
  <c r="A13" i="10"/>
  <c r="F12" i="10"/>
  <c r="A12" i="10"/>
  <c r="F11" i="10"/>
  <c r="A11" i="10"/>
  <c r="F10" i="10"/>
  <c r="A10" i="10"/>
  <c r="F9" i="10"/>
  <c r="A9" i="10"/>
  <c r="F8" i="10"/>
  <c r="A8" i="10"/>
  <c r="F7" i="10"/>
  <c r="A7" i="10"/>
  <c r="F6" i="10"/>
  <c r="A6" i="10"/>
  <c r="F5" i="10"/>
  <c r="A5" i="10"/>
  <c r="F4" i="10"/>
  <c r="A4" i="10"/>
  <c r="F3" i="10"/>
  <c r="A3" i="10"/>
  <c r="F2" i="10"/>
  <c r="F22" i="10" s="1"/>
  <c r="A2" i="10"/>
  <c r="C47" i="9"/>
  <c r="F22" i="9"/>
  <c r="F21" i="9"/>
  <c r="A21" i="9"/>
  <c r="F20" i="9"/>
  <c r="A20" i="9"/>
  <c r="F19" i="9"/>
  <c r="A19" i="9"/>
  <c r="F18" i="9"/>
  <c r="A18" i="9"/>
  <c r="F17" i="9"/>
  <c r="A17" i="9"/>
  <c r="F16" i="9"/>
  <c r="A16" i="9"/>
  <c r="F15" i="9"/>
  <c r="A15" i="9"/>
  <c r="F14" i="9"/>
  <c r="A14" i="9"/>
  <c r="F13" i="9"/>
  <c r="A13" i="9"/>
  <c r="F12" i="9"/>
  <c r="A12" i="9"/>
  <c r="F11" i="9"/>
  <c r="A11" i="9"/>
  <c r="F10" i="9"/>
  <c r="A10" i="9"/>
  <c r="F9" i="9"/>
  <c r="A9" i="9"/>
  <c r="F8" i="9"/>
  <c r="A8" i="9"/>
  <c r="F7" i="9"/>
  <c r="A7" i="9"/>
  <c r="F6" i="9"/>
  <c r="A6" i="9"/>
  <c r="F5" i="9"/>
  <c r="A5" i="9"/>
  <c r="F4" i="9"/>
  <c r="A4" i="9"/>
  <c r="F3" i="9"/>
  <c r="A3" i="9"/>
  <c r="F2" i="9"/>
  <c r="A2" i="9"/>
  <c r="F21" i="8"/>
  <c r="A21" i="8"/>
  <c r="F20" i="8"/>
  <c r="A20" i="8"/>
  <c r="F19" i="8"/>
  <c r="A19" i="8"/>
  <c r="F18" i="8"/>
  <c r="A18" i="8"/>
  <c r="F17" i="8"/>
  <c r="A17" i="8"/>
  <c r="F16" i="8"/>
  <c r="A16" i="8"/>
  <c r="F15" i="8"/>
  <c r="A15" i="8"/>
  <c r="F14" i="8"/>
  <c r="A14" i="8"/>
  <c r="F13" i="8"/>
  <c r="A13" i="8"/>
  <c r="F12" i="8"/>
  <c r="A12" i="8"/>
  <c r="F11" i="8"/>
  <c r="A11" i="8"/>
  <c r="F10" i="8"/>
  <c r="A10" i="8"/>
  <c r="F9" i="8"/>
  <c r="A9" i="8"/>
  <c r="F8" i="8"/>
  <c r="A8" i="8"/>
  <c r="F7" i="8"/>
  <c r="A7" i="8"/>
  <c r="F6" i="8"/>
  <c r="A6" i="8"/>
  <c r="F5" i="8"/>
  <c r="F22" i="8" s="1"/>
  <c r="A5" i="8"/>
  <c r="F4" i="8"/>
  <c r="A4" i="8"/>
  <c r="F3" i="8"/>
  <c r="A3" i="8"/>
  <c r="F2" i="8"/>
  <c r="A2" i="8"/>
  <c r="C44" i="7"/>
  <c r="A21" i="7"/>
  <c r="A20" i="7"/>
  <c r="A19" i="7"/>
  <c r="A18" i="7"/>
  <c r="A17" i="7"/>
  <c r="A16" i="7"/>
  <c r="A15" i="7"/>
  <c r="A14" i="7"/>
  <c r="F13" i="7"/>
  <c r="A13" i="7"/>
  <c r="F12" i="7"/>
  <c r="A12" i="7"/>
  <c r="A11" i="7"/>
  <c r="A10" i="7"/>
  <c r="F9" i="7"/>
  <c r="A9" i="7"/>
  <c r="F8" i="7"/>
  <c r="A8" i="7"/>
  <c r="F7" i="7"/>
  <c r="A7" i="7"/>
  <c r="F6" i="7"/>
  <c r="A6" i="7"/>
  <c r="F5" i="7"/>
  <c r="A5" i="7"/>
  <c r="F4" i="7"/>
  <c r="A4" i="7"/>
  <c r="F3" i="7"/>
  <c r="F22" i="7" s="1"/>
  <c r="A3" i="7"/>
  <c r="F2" i="7"/>
  <c r="A2" i="7"/>
  <c r="A21" i="6"/>
  <c r="A20" i="6"/>
  <c r="A19" i="6"/>
  <c r="A18" i="6"/>
  <c r="A17" i="6"/>
  <c r="A16" i="6"/>
  <c r="F15" i="6"/>
  <c r="A15" i="6"/>
  <c r="F14" i="6"/>
  <c r="A14" i="6"/>
  <c r="F13" i="6"/>
  <c r="A13" i="6"/>
  <c r="F12" i="6"/>
  <c r="F22" i="6" s="1"/>
  <c r="A12" i="6"/>
  <c r="A11" i="6"/>
  <c r="A10" i="6"/>
  <c r="A9" i="6"/>
  <c r="A8" i="6"/>
  <c r="A7" i="6"/>
  <c r="A6" i="6"/>
  <c r="A5" i="6"/>
  <c r="A4" i="6"/>
  <c r="A3" i="6"/>
  <c r="A2" i="6"/>
  <c r="A21" i="5"/>
  <c r="A20" i="5"/>
  <c r="A19" i="5"/>
  <c r="A18" i="5"/>
  <c r="A17" i="5"/>
  <c r="A16" i="5"/>
  <c r="A15" i="5"/>
  <c r="A14" i="5"/>
  <c r="A13" i="5"/>
  <c r="A12" i="5"/>
  <c r="F11" i="5"/>
  <c r="A11" i="5"/>
  <c r="F10" i="5"/>
  <c r="A10" i="5"/>
  <c r="A9" i="5"/>
  <c r="A8" i="5"/>
  <c r="A7" i="5"/>
  <c r="A6" i="5"/>
  <c r="F5" i="5"/>
  <c r="F22" i="5" s="1"/>
  <c r="A5" i="5"/>
  <c r="F4" i="5"/>
  <c r="A4" i="5"/>
  <c r="F3" i="5"/>
  <c r="A3" i="5"/>
  <c r="F2" i="5"/>
  <c r="A2" i="5"/>
  <c r="C58" i="4"/>
  <c r="A30" i="4"/>
  <c r="A29" i="4"/>
  <c r="A28" i="4"/>
  <c r="A27" i="4"/>
  <c r="A26" i="4"/>
  <c r="A25" i="4"/>
  <c r="A24" i="4"/>
  <c r="A23" i="4"/>
  <c r="A22" i="4"/>
  <c r="A21" i="4"/>
  <c r="A20" i="4"/>
  <c r="F19" i="4"/>
  <c r="F31" i="4" s="1"/>
  <c r="A19" i="4"/>
  <c r="F18" i="4"/>
  <c r="A18" i="4"/>
  <c r="F17" i="4"/>
  <c r="A17" i="4"/>
  <c r="F16" i="4"/>
  <c r="A16" i="4"/>
  <c r="F15" i="4"/>
  <c r="A15" i="4"/>
  <c r="A14" i="4"/>
  <c r="A13" i="4"/>
  <c r="A12" i="4"/>
  <c r="A11" i="4"/>
  <c r="A10" i="4"/>
  <c r="A9" i="4"/>
  <c r="A8" i="4"/>
  <c r="A7" i="4"/>
  <c r="A6" i="4"/>
  <c r="A5" i="4"/>
  <c r="A4" i="4"/>
  <c r="A3" i="4"/>
  <c r="A2" i="4"/>
  <c r="A21" i="3"/>
  <c r="A20" i="3"/>
  <c r="A19" i="3"/>
  <c r="A18" i="3"/>
  <c r="A17" i="3"/>
  <c r="A16" i="3"/>
  <c r="A15" i="3"/>
  <c r="A14" i="3"/>
  <c r="A13" i="3"/>
  <c r="A12" i="3"/>
  <c r="A11" i="3"/>
  <c r="A10" i="3"/>
  <c r="F9" i="3"/>
  <c r="A9" i="3"/>
  <c r="F8" i="3"/>
  <c r="A8" i="3"/>
  <c r="A7" i="3"/>
  <c r="F6" i="3"/>
  <c r="A6" i="3"/>
  <c r="F5" i="3"/>
  <c r="A5" i="3"/>
  <c r="F4" i="3"/>
  <c r="A4" i="3"/>
  <c r="F3" i="3"/>
  <c r="A3" i="3"/>
  <c r="F2" i="3"/>
  <c r="F22" i="3" s="1"/>
  <c r="A2" i="3"/>
  <c r="F22" i="2"/>
  <c r="F21" i="2"/>
  <c r="A21" i="2"/>
  <c r="F20" i="2"/>
  <c r="A20" i="2"/>
  <c r="F19" i="2"/>
  <c r="A19" i="2"/>
  <c r="F18" i="2"/>
  <c r="A18" i="2"/>
  <c r="F17" i="2"/>
  <c r="A17" i="2"/>
  <c r="F16" i="2"/>
  <c r="A16" i="2"/>
  <c r="F15" i="2"/>
  <c r="A15" i="2"/>
  <c r="F14" i="2"/>
  <c r="A14" i="2"/>
  <c r="F13" i="2"/>
  <c r="A13" i="2"/>
  <c r="F12" i="2"/>
  <c r="A12" i="2"/>
  <c r="F11" i="2"/>
  <c r="A11" i="2"/>
  <c r="F10" i="2"/>
  <c r="A10" i="2"/>
  <c r="F9" i="2"/>
  <c r="A9" i="2"/>
  <c r="F8" i="2"/>
  <c r="A8" i="2"/>
  <c r="F7" i="2"/>
  <c r="A7" i="2"/>
  <c r="F6" i="2"/>
  <c r="A6" i="2"/>
  <c r="F5" i="2"/>
  <c r="A5" i="2"/>
  <c r="F4" i="2"/>
  <c r="A4" i="2"/>
  <c r="F3" i="2"/>
  <c r="A3" i="2"/>
  <c r="F2" i="2"/>
  <c r="A2" i="2"/>
  <c r="F21" i="1"/>
  <c r="A21" i="1"/>
  <c r="F20" i="1"/>
  <c r="A20" i="1"/>
  <c r="F19" i="1"/>
  <c r="A19" i="1"/>
  <c r="F18" i="1"/>
  <c r="A18" i="1"/>
  <c r="F17" i="1"/>
  <c r="A17" i="1"/>
  <c r="F16" i="1"/>
  <c r="A16" i="1"/>
  <c r="F15" i="1"/>
  <c r="A15" i="1"/>
  <c r="F14" i="1"/>
  <c r="A14" i="1"/>
  <c r="F13" i="1"/>
  <c r="A13" i="1"/>
  <c r="F12" i="1"/>
  <c r="A12" i="1"/>
  <c r="F11" i="1"/>
  <c r="A11" i="1"/>
  <c r="F10" i="1"/>
  <c r="A10" i="1"/>
  <c r="F9" i="1"/>
  <c r="A9" i="1"/>
  <c r="F8" i="1"/>
  <c r="A8" i="1"/>
  <c r="F7" i="1"/>
  <c r="A7" i="1"/>
  <c r="F6" i="1"/>
  <c r="A6" i="1"/>
  <c r="F5" i="1"/>
  <c r="A5" i="1"/>
  <c r="F4" i="1"/>
  <c r="A4" i="1"/>
  <c r="F3" i="1"/>
  <c r="A3" i="1"/>
  <c r="F2" i="1"/>
  <c r="F22" i="1" s="1"/>
  <c r="A2" i="1"/>
  <c r="C41" i="10"/>
</calcChain>
</file>

<file path=xl/sharedStrings.xml><?xml version="1.0" encoding="utf-8"?>
<sst xmlns="http://schemas.openxmlformats.org/spreadsheetml/2006/main" count="1245" uniqueCount="374">
  <si>
    <t xml:space="preserve">Sr. No. </t>
  </si>
  <si>
    <t>Activity</t>
  </si>
  <si>
    <t>Start Time</t>
  </si>
  <si>
    <t>End Time</t>
  </si>
  <si>
    <t>Planned Time</t>
  </si>
  <si>
    <t>Actual Time</t>
  </si>
  <si>
    <t xml:space="preserve">Status </t>
  </si>
  <si>
    <t>Published the Overnight Execution Reports of Bench 07.</t>
  </si>
  <si>
    <t>*Build number, SysUcom Version, CAN Whitelist and CID Version</t>
  </si>
  <si>
    <t>Auto-Flashing Analysis on Bench 07.</t>
  </si>
  <si>
    <t>Overnight Execution Analysis of Bench 07.</t>
  </si>
  <si>
    <t>Overnight execution failure re-execution of 1405 Dev on Bench 07.</t>
  </si>
  <si>
    <t>Verified build details with release note.</t>
  </si>
  <si>
    <t>Connected Bench 07 to Internal Jenkins Pipeline.</t>
  </si>
  <si>
    <t>Taken git pull/push on Bench 07.</t>
  </si>
  <si>
    <t>Performed Sanity on Bench 07.</t>
  </si>
  <si>
    <t>Checked missing resource popup on Bench 07.</t>
  </si>
  <si>
    <t>Connected Bench 07 to Jenkins Pipeline.</t>
  </si>
  <si>
    <t>Total</t>
  </si>
  <si>
    <t>Time</t>
  </si>
  <si>
    <t xml:space="preserve">Sr.No. </t>
  </si>
  <si>
    <t>Calibration Activity and Calibration data uploaded on Git for Bench 07</t>
  </si>
  <si>
    <t>Shared daytime execution evidences on sharepoint.</t>
  </si>
  <si>
    <t>Worked on jira ticket for failures of Bench 07 on 27th January 2025.</t>
  </si>
  <si>
    <t>Lunch</t>
  </si>
  <si>
    <t>Taken git pull/push on Bench 06.</t>
  </si>
  <si>
    <t>Performed Sanity on Bench 06 and Bench 07.</t>
  </si>
  <si>
    <t>Checked missing resource popup on Bench 06.</t>
  </si>
  <si>
    <t>Connected Bench 06 to Jenkins Pipeline.</t>
  </si>
  <si>
    <t>Set Gain of Impedance convertor on Bench 07.</t>
  </si>
  <si>
    <t>Meeting</t>
  </si>
  <si>
    <t xml:space="preserve">Lunch </t>
  </si>
  <si>
    <t>Updated Jira tickets for Bench 07.</t>
  </si>
  <si>
    <t>Flashed Last Dev Build on Bench 06.</t>
  </si>
  <si>
    <t>Flashed Last Rel Build on Bench 06.</t>
  </si>
  <si>
    <t>Flashed Last Rel Build on Bench 07.</t>
  </si>
  <si>
    <t>Published the Overnight Execution Reports of Bench 07 for 1404 Rel Build.</t>
  </si>
  <si>
    <t>Auto-Flashing Analysis on Bench 07 for 1404 Rel Build.</t>
  </si>
  <si>
    <t>Overnight Execution Analysis of Bench 07 for 1404 Rel Build.</t>
  </si>
  <si>
    <t>Overnight execution failure re-execution of 1404 Rel Build on Manual Bench.</t>
  </si>
  <si>
    <t>Published the Overnight Execution Reports of Bench 07 for 1405 Dev Build.</t>
  </si>
  <si>
    <t>Auto-Flashing Analysis on Bench 07 for 1405 Dev Build.</t>
  </si>
  <si>
    <t>Overnight Execution Analysis of Bench 07 for 1405 Dev Build.</t>
  </si>
  <si>
    <t>Overnight execution failure re-execution of 1405 Dev Build on Manual Bench.</t>
  </si>
  <si>
    <t>Uploaded Overnight execution failure re-execution evidances on sharepoint.</t>
  </si>
  <si>
    <t>Shared Overnight execution failure re-execution status with Leads.</t>
  </si>
  <si>
    <t>Verified build details with release note for 1405 Dev Build execution.</t>
  </si>
  <si>
    <t>Created New VIN3434 On GTC Server.</t>
  </si>
  <si>
    <t>Created preconditions for new VIN3434 in Kite.</t>
  </si>
  <si>
    <t xml:space="preserve">Sr No. </t>
  </si>
  <si>
    <t>Published the Overnight Execution Reports of Bench 07 for 1404 Rel and 1405 Dev Build.</t>
  </si>
  <si>
    <t>Auto-Flashing Analysis on Bench 07 for 1404 Rel and 1405 Dev Build.</t>
  </si>
  <si>
    <t>Overnight Execution Analysis of Bench 07 for 1404 Rel and 1405 Dev Build.</t>
  </si>
  <si>
    <t>Overnight execution failure re-execution of 1404 Rel Build on Bench 07.</t>
  </si>
  <si>
    <t>Flashed 1404 Rel UFS Build on Bench 07.</t>
  </si>
  <si>
    <t>Overnight execution failure re-execution of 1405 Dev Build on Bench 07.</t>
  </si>
  <si>
    <t>Got USB and CAN key access for Bench and laptop.</t>
  </si>
  <si>
    <t>Checked new VIN3434 on manual bench.</t>
  </si>
  <si>
    <t>Checked new VIN3434 on bench 07.</t>
  </si>
  <si>
    <t>Shared the Overnight execution failure re-execution results.</t>
  </si>
  <si>
    <t>Shared the Overnight execution failure re-execution evidances on SharePoint.</t>
  </si>
  <si>
    <t>Calibration activity and uploaded evidances of Bench 07.</t>
  </si>
  <si>
    <t>Executed "KPIT_TC_DRT_USB_140" on Bench 06 and shared result and evidances on SharePoint.</t>
  </si>
  <si>
    <t>Bench 09 Audio Setup.</t>
  </si>
  <si>
    <t>Overnight execution failure fixation on Bench 07.</t>
  </si>
  <si>
    <t>New TS devlopment on Bench 07.</t>
  </si>
  <si>
    <t>Vehicle simulator new TS devlopment.</t>
  </si>
  <si>
    <t>KT for Bench 05 and Bench 08 Sanity.</t>
  </si>
  <si>
    <t>KT for Bench 07 Sanity.</t>
  </si>
  <si>
    <t>Taken git pull/push on Bench 05.</t>
  </si>
  <si>
    <t>Taken git pull/push on Bench 08.</t>
  </si>
  <si>
    <t>Performed Sanity on Bench 05.</t>
  </si>
  <si>
    <t>Performed Sanity on Bench 08.</t>
  </si>
  <si>
    <t>Checked missing resource popup on Bench 05.</t>
  </si>
  <si>
    <t>Checked missing resource popup on Bench 08.</t>
  </si>
  <si>
    <t>Connected Bench 05 to Jenkins Pipeline.</t>
  </si>
  <si>
    <t>Connected Bench 08 to Jenkins Pipeline.</t>
  </si>
  <si>
    <t>Published the Overnight Execution Reports of Bench 06.</t>
  </si>
  <si>
    <t>Auto-Flashing Analysis on Bench 06.</t>
  </si>
  <si>
    <t>Overnight Execution Analysis of Bench 06.</t>
  </si>
  <si>
    <t>Overnight execution failure re-execution of 1405 Dev on Bench 06.</t>
  </si>
  <si>
    <t>Supported for the Overnight execution failure re-execution of 1404 Rel on Bench 05.</t>
  </si>
  <si>
    <t>Updated Overnight Failure Jira Ticket for Bench 07.</t>
  </si>
  <si>
    <t>Performed Sanity on Bench 05 and Bench 08.</t>
  </si>
  <si>
    <t>Checked missing resource popup on Bench 05 and Bench 08.</t>
  </si>
  <si>
    <t>KPIT_TC_DRT_SPCAA_005</t>
  </si>
  <si>
    <t>Pass</t>
  </si>
  <si>
    <t>KPIT_TC_DRT_SPCAA_030</t>
  </si>
  <si>
    <t>KPIT_TC_DRT_SPCAA_043</t>
  </si>
  <si>
    <t>KPIT_TC_DRT_SPCAA_045</t>
  </si>
  <si>
    <t>KPIT_TC_DRT_SPCAA_046</t>
  </si>
  <si>
    <t>KPIT_TC_DRT_SPCAA_071</t>
  </si>
  <si>
    <t>KPIT_TC_DRT_SPCAA_079</t>
  </si>
  <si>
    <t>KPIT_TC_FNC_SPCAA_0448_0001</t>
  </si>
  <si>
    <t>Published the Overnight Execution Reports of Bench 07 for 1404 Rel Build and 1405 Dev Build.</t>
  </si>
  <si>
    <t>Flashed 1404 Rel Build on Bench 07.</t>
  </si>
  <si>
    <t>Uploaded Overnight execution failure re-execution evidence on SharePoint.</t>
  </si>
  <si>
    <t>Performed Calibration Activity and uploaded evidence in GIT for on Bench 07.</t>
  </si>
  <si>
    <t>Created Exception handler for A zone B zone Blank for bench 07.</t>
  </si>
  <si>
    <t>Meeting.</t>
  </si>
  <si>
    <t>Triggered Overnight execution on Bench 05 and Bench 08.</t>
  </si>
  <si>
    <t>Added Exception handler for A zone B zone Blank to all Test packs of bench 07.</t>
  </si>
  <si>
    <t>Uploaded Overnight Execution Reports to GIT for Bench 07.</t>
  </si>
  <si>
    <t>New Development Test Script Creation Rework.</t>
  </si>
  <si>
    <t>Uploaded new development test script creation rework reports on Jira assigned for review.</t>
  </si>
  <si>
    <t>Created function block for handling active call screen transition timing.</t>
  </si>
  <si>
    <t>Checked missing resource popup on Bench 08</t>
  </si>
  <si>
    <t>Flashed A14 Base Build Dev Build on Bench 06 T90X ICB.</t>
  </si>
  <si>
    <t>Flashed 1405 Dev Build on Bench 06 T90X ICB.</t>
  </si>
  <si>
    <t>Executed New Development TS in 3 Iteration and attached reports on Jira.</t>
  </si>
  <si>
    <t>Overnight Execution Failure Analysis of Bench 07.</t>
  </si>
  <si>
    <t>Flashed 1405 Dev Build on Stabalisation Bench T90X ICB.</t>
  </si>
  <si>
    <t>Checked for the automation hardwares and updated the sheet.</t>
  </si>
  <si>
    <t>BenchID</t>
  </si>
  <si>
    <t>Build to be Flashed</t>
  </si>
  <si>
    <t>Sanity Owner</t>
  </si>
  <si>
    <t>Sanity Status</t>
  </si>
  <si>
    <t>Bench01</t>
  </si>
  <si>
    <t>Latest Dev - AEA1405D0.250221.1</t>
  </si>
  <si>
    <t>Abhijeet</t>
  </si>
  <si>
    <t>Completed</t>
  </si>
  <si>
    <t>Bench02</t>
  </si>
  <si>
    <t>PJ04DEF00-923 Fix Verification Build: AEA1402D0.250215.1</t>
  </si>
  <si>
    <t>Sayali Pawar</t>
  </si>
  <si>
    <t>Triggered DRT_ANT_1236 TS in 300 iterations.</t>
  </si>
  <si>
    <t>Bench03</t>
  </si>
  <si>
    <t>Latest Release - AEA1404R0.250221.1</t>
  </si>
  <si>
    <t>Bench04</t>
  </si>
  <si>
    <t>Bench05</t>
  </si>
  <si>
    <t>Srushti</t>
  </si>
  <si>
    <t>Execution triggerd manually</t>
  </si>
  <si>
    <t>Bench06</t>
  </si>
  <si>
    <t>Yukta</t>
  </si>
  <si>
    <t>Bench07</t>
  </si>
  <si>
    <t>Bench08</t>
  </si>
  <si>
    <t>Gayathri</t>
  </si>
  <si>
    <t>Bench09</t>
  </si>
  <si>
    <t>Chandrakant</t>
  </si>
  <si>
    <t>Bench10</t>
  </si>
  <si>
    <t>Sayali Raut</t>
  </si>
  <si>
    <t>Bench11</t>
  </si>
  <si>
    <t>Bench12</t>
  </si>
  <si>
    <t>Issue Faced</t>
  </si>
  <si>
    <t>Resolution</t>
  </si>
  <si>
    <t>Bench 07</t>
  </si>
  <si>
    <t>TightVNC Black Screen</t>
  </si>
  <si>
    <t>Restarted the monitor</t>
  </si>
  <si>
    <t>Bench 02</t>
  </si>
  <si>
    <t>Reset Arm Command is getting fail</t>
  </si>
  <si>
    <t>Restarted the robot</t>
  </si>
  <si>
    <t>Multiple Benches</t>
  </si>
  <si>
    <t>Reference account is logged out</t>
  </si>
  <si>
    <t>Shut downed the systems multiple times</t>
  </si>
  <si>
    <t>Bench 03</t>
  </si>
  <si>
    <t>Robot is not responding for Kite commands</t>
  </si>
  <si>
    <t>Home calibration of robot in Dobot studio</t>
  </si>
  <si>
    <t>Bench 09</t>
  </si>
  <si>
    <t xml:space="preserve">Kite Report Engine Error </t>
  </si>
  <si>
    <t>1. Closed the KITE application.
2. After the “Closing KITE dependencies” pop-up is closed, open Task Manager.
3. Checked for KITE dependency instances, if they are open, click on End Task(specifically adb32.exe etc.)
4. Go to D:/KITE/KITE/ReportEngine
5. Clicked on StopPdfReportEngine.bat and StopReportEngine.bat and then click on StartPdfReportEngine.bat and StartReportEngine.bat
6. Launched KITE application again and tried executing any script.
7. KITE is Working.</t>
  </si>
  <si>
    <t>Bench 01</t>
  </si>
  <si>
    <t>git status</t>
  </si>
  <si>
    <t>git pull origin OvernightReport_Backup</t>
  </si>
  <si>
    <t>chandrakanb</t>
  </si>
  <si>
    <t>Omkar@108</t>
  </si>
  <si>
    <t>git push origin OvernightReport_Backup</t>
  </si>
  <si>
    <t>move</t>
  </si>
  <si>
    <t>KPIT_TC_DRT_BTA_020.mp4</t>
  </si>
  <si>
    <t>KPIT_TC_DRT_BTA_020</t>
  </si>
  <si>
    <t>KPIT_TC_DRT_BTA_025.mp4</t>
  </si>
  <si>
    <t>KPIT_TC_DRT_BTA_025</t>
  </si>
  <si>
    <t>KPIT_TC_DRT_BTA_053.mp4</t>
  </si>
  <si>
    <t>KPIT_TC_DRT_BTA_053</t>
  </si>
  <si>
    <t>KPIT_TC_DRT_CLK_042.mp4</t>
  </si>
  <si>
    <t>KPIT_TC_DRT_CLK_042</t>
  </si>
  <si>
    <t>KPIT_TC_DRT_HED_013.jpg</t>
  </si>
  <si>
    <t>KPIT_TC_DRT_HED_013</t>
  </si>
  <si>
    <t>KPIT_TC_DRT_HFT_059.jpg</t>
  </si>
  <si>
    <t>KPIT_TC_DRT_HFT_059</t>
  </si>
  <si>
    <t>KPIT_TC_DRT_HMI_001.mp4</t>
  </si>
  <si>
    <t>KPIT_TC_DRT_HMI_001</t>
  </si>
  <si>
    <t>KPIT_TC_DRT_SPCCP_021.mp4</t>
  </si>
  <si>
    <t>KPIT_TC_DRT_SPCCP_021</t>
  </si>
  <si>
    <t>KPIT_TC_DRT_SPCCP_099.mp4</t>
  </si>
  <si>
    <t>KPIT_TC_DRT_SPCCP_099</t>
  </si>
  <si>
    <t>KPIT_TC_DRT_SRW_015.mp4</t>
  </si>
  <si>
    <t>KPIT_TC_DRT_SRW_015</t>
  </si>
  <si>
    <t>KPIT_TC_DRT_SUW_003.mp4</t>
  </si>
  <si>
    <t>KPIT_TC_DRT_SUW_003</t>
  </si>
  <si>
    <t>KPIT_TC_DRT_SPCCP_024.mp4</t>
  </si>
  <si>
    <t>KPIT_TC_DRT_SPCCP_024</t>
  </si>
  <si>
    <t>mkdir</t>
  </si>
  <si>
    <t xml:space="preserve">git add </t>
  </si>
  <si>
    <t>Bench01/Feb/B1_24Feb2025_Dev_trigger/Bench01_24th_February_Overnight_Execution_1405_Dev.zip</t>
  </si>
  <si>
    <t>Bench07/February_2025/24_02_2025/Bench07_24th_February_Overnight_Execution_1404_Rel.zip</t>
  </si>
  <si>
    <t>Bench07/February_2025/24_02_2025/Bench07_24th_February_Overnight_Execution_1405_Dev.zip</t>
  </si>
  <si>
    <t>git commit -m "</t>
  </si>
  <si>
    <t>"</t>
  </si>
  <si>
    <t>Sr. No.</t>
  </si>
  <si>
    <t>Dates</t>
  </si>
  <si>
    <t>Weekend Support</t>
  </si>
  <si>
    <t>Vaishnavi/Abhijeet</t>
  </si>
  <si>
    <t>Rohan</t>
  </si>
  <si>
    <t>Shutdown</t>
  </si>
  <si>
    <t>Vitthal</t>
  </si>
  <si>
    <t>Sahil</t>
  </si>
  <si>
    <t>Chandrakant, Abhijeet, Prabhakar</t>
  </si>
  <si>
    <t>mkdir 20_02_2025</t>
  </si>
  <si>
    <t>copy .gitkeep 20_02_2025</t>
  </si>
  <si>
    <t>git add 20_02_2025/</t>
  </si>
  <si>
    <t>git commit -m "20_02_2025/"</t>
  </si>
  <si>
    <t>git pull origin Overnight_Sanity_Checklist</t>
  </si>
  <si>
    <t>git push origin Overnight_Sanity_Checklist</t>
  </si>
  <si>
    <t>11th_February_2025</t>
  </si>
  <si>
    <t>17th_February_2025</t>
  </si>
  <si>
    <t>20th_February_2025</t>
  </si>
  <si>
    <t xml:space="preserve">tar -a -c -f </t>
  </si>
  <si>
    <t>11th_February_2025.zip</t>
  </si>
  <si>
    <t>17th_February_2025.zip</t>
  </si>
  <si>
    <t>20th_February_2025.zip</t>
  </si>
  <si>
    <t>16th_February_2025.zip</t>
  </si>
  <si>
    <t>16th_February_2025</t>
  </si>
  <si>
    <t>18th_February_2025.zip</t>
  </si>
  <si>
    <t>18th_February_2025</t>
  </si>
  <si>
    <t>19th_February_2025.zip</t>
  </si>
  <si>
    <t>19th_February_2025</t>
  </si>
  <si>
    <t>Bench05_SrushtiP/11th_February_2025.zip</t>
  </si>
  <si>
    <t>Bench05_SrushtiP/17th_February_2025.zip</t>
  </si>
  <si>
    <t>Bench05_SrushtiP/20th_February_2025.zip</t>
  </si>
  <si>
    <t>Bench08/11th_February_2025.zip</t>
  </si>
  <si>
    <t>Bench08/16th_February_2025.zip</t>
  </si>
  <si>
    <t>Bench08/17th_February_2025.zip</t>
  </si>
  <si>
    <t>Bench08/18th_February_2025.zip</t>
  </si>
  <si>
    <t>Bench08/19th_February_2025.zip</t>
  </si>
  <si>
    <t>Bench08/20th_February_2025.zip</t>
  </si>
  <si>
    <t>git add Bench05_SrushtiP/11th_February_2025.zip</t>
  </si>
  <si>
    <t>git commit -m Bench05_SrushtiP/11th_February_2025.zip</t>
  </si>
  <si>
    <t>git add Bench05_SrushtiP/17th_February_2025.zip</t>
  </si>
  <si>
    <t>git commit -m Bench05_SrushtiP/17th_February_2025.zip</t>
  </si>
  <si>
    <t>git add Bench05_SrushtiP/20th_February_2025.zip</t>
  </si>
  <si>
    <t>git commit -m Bench05_SrushtiP/20th_February_2025.zip</t>
  </si>
  <si>
    <t>git add Bench08/11th_February_2025.zip</t>
  </si>
  <si>
    <t>git commit -m Bench08/11th_February_2025.zip</t>
  </si>
  <si>
    <t>git add Bench08/16th_February_2025.zip</t>
  </si>
  <si>
    <t>git commit -m Bench08/16th_February_2025.zip</t>
  </si>
  <si>
    <t>git add Bench08/17th_February_2025.zip</t>
  </si>
  <si>
    <t>git commit -m Bench08/17th_February_2025.zip</t>
  </si>
  <si>
    <t>git add Bench08/18th_February_2025.zip</t>
  </si>
  <si>
    <t>git commit -m Bench08/18th_February_2025.zip</t>
  </si>
  <si>
    <t>git add Bench08/19th_February_2025.zip</t>
  </si>
  <si>
    <t>git commit -m Bench08/19th_February_2025.zip</t>
  </si>
  <si>
    <t>git add Bench08/20th_February_2025.zip</t>
  </si>
  <si>
    <t>git commit -m Bench08/20th_February_2025.zip</t>
  </si>
  <si>
    <t>git add Bench07/February_2025/10th_February_2025/</t>
  </si>
  <si>
    <t>git commit -m Bench07/February_2025/10th_February_2025/</t>
  </si>
  <si>
    <t>git add Bench07/February_2025/11th_February_2025/</t>
  </si>
  <si>
    <t>git commit -m Bench07/February_2025/11th_February_2025/</t>
  </si>
  <si>
    <t>git add Bench07/February_2025/12th_February_2025/</t>
  </si>
  <si>
    <t>git commit -m Bench07/February_2025/12th_February_2025/</t>
  </si>
  <si>
    <t>git add Bench07/February_2025/13th_February_2025/</t>
  </si>
  <si>
    <t>git commit -m Bench07/February_2025/13th_February_2025/</t>
  </si>
  <si>
    <t>git add Bench07/February_2025/14th_February_2025/</t>
  </si>
  <si>
    <t>git commit -m Bench07/February_2025/14th_February_2025/</t>
  </si>
  <si>
    <t>git add Bench07/February_2025/16th_February_2025/</t>
  </si>
  <si>
    <t>git commit -m Bench07/February_2025/16th_February_2025/</t>
  </si>
  <si>
    <t>git add Bench07/February_2025/17th_February_2025/</t>
  </si>
  <si>
    <t>git commit -m Bench07/February_2025/17th_February_2025/</t>
  </si>
  <si>
    <t>git add Bench07/February_2025/18th_February_2025/</t>
  </si>
  <si>
    <t>git commit -m Bench07/February_2025/18th_February_2025/</t>
  </si>
  <si>
    <t>git add Bench07/February_2025/23rd_February_2025/</t>
  </si>
  <si>
    <t>git commit -m Bench07/February_2025/23rd_February_2025/</t>
  </si>
  <si>
    <t>Date: 26th January 2025 (1404Dev)</t>
  </si>
  <si>
    <t>Failure Category: KITE_Issue</t>
  </si>
  <si>
    <t>Failure Category: ICB_Issue</t>
  </si>
  <si>
    <t>Failure Sub Category: Robot touch operation</t>
  </si>
  <si>
    <t>Details of failure: Robot performed Click operation instead of swipe operation</t>
  </si>
  <si>
    <t>Fixation Performed: Executed in 3 Iterations in daytime, issue was not observed.</t>
  </si>
  <si>
    <t>Date: 5th February 2025 (1404 Rel)</t>
  </si>
  <si>
    <t>Failure Subcategory: Valid Issue</t>
  </si>
  <si>
    <t>Passed on 27th January 2025, 1403Rel Overnight Execution.</t>
  </si>
  <si>
    <t>Details of failure: PJ04DEF00-1320: Driver restriction on USB Video screen even if ICB speed is zero</t>
  </si>
  <si>
    <t>Passed on 27th January 2025, 1404Dev Overnight Execution.</t>
  </si>
  <si>
    <t>Fixation Performed: PJ04DEF00-1320.</t>
  </si>
  <si>
    <t>Passed on 28th January 2025, 1404Dev Overnight Execution.</t>
  </si>
  <si>
    <t>Passed on 29th January 2025, 1404Dev Overnight Execution.</t>
  </si>
  <si>
    <t>Date: 10th February 2025 (1405 Dev)</t>
  </si>
  <si>
    <t>Passed on 30th January 2025 Overnight Execution.</t>
  </si>
  <si>
    <t>Passed on 31st January 2025 Overnight Execution.</t>
  </si>
  <si>
    <t>Passed on 2nd February 2025, 1405Dev Overnight Execution.</t>
  </si>
  <si>
    <t>Passed on 3rd February 2025 Overnight Execution.</t>
  </si>
  <si>
    <t>Date: 5th February 2025 (1405 Dev)</t>
  </si>
  <si>
    <t xml:space="preserve">Failure Category: ICB_Issue </t>
  </si>
  <si>
    <t>Failure Subcategory: Once Seen</t>
  </si>
  <si>
    <t>Date: 27th January 2025 (1404Dev)</t>
  </si>
  <si>
    <t>Details of failure: PJ04DEF00-506: BT Data Loading Issue, No Data is displayed for Tracks folder on Samsung Music screen.</t>
  </si>
  <si>
    <t>Failure Category: Test_Environment_Issue</t>
  </si>
  <si>
    <t>Fixation Performed: PJ04DEF00-506: Executed manually, Passed.</t>
  </si>
  <si>
    <t>Failure Sub Category: External Application Issue</t>
  </si>
  <si>
    <t>Details of failure: PIT Message 3007 is not available on VIN8888</t>
  </si>
  <si>
    <t>Fixation Performed: PIT Message 3007 is added to VIN8888</t>
  </si>
  <si>
    <t>Date: 28th January 2025 (1404Dev)</t>
  </si>
  <si>
    <t>Details of failure: Failed to set VIN8888 in GTC server, as it is not present in dropdown menu.</t>
  </si>
  <si>
    <t>Failure Category: Test_Env_Issue</t>
  </si>
  <si>
    <t>Date: 31st January 2025</t>
  </si>
  <si>
    <t>Failure Subcategory: Network Issue</t>
  </si>
  <si>
    <t>Details of failure: Call initiated from remote phone but didn’t come on ICB.</t>
  </si>
  <si>
    <t>Failure Sub Category: Network Issue</t>
  </si>
  <si>
    <t>Fixation Performed: Executed manually in 3 iterations, Passed.</t>
  </si>
  <si>
    <t>Details of failure: Due to GTC server issue, PIT message didn't come.</t>
  </si>
  <si>
    <t>Fixation Performed: NA</t>
  </si>
  <si>
    <t>Date: 2nd February 2025 (1405 Dev)</t>
  </si>
  <si>
    <t>Status: Passed</t>
  </si>
  <si>
    <t>Date: 2nd February 2025</t>
  </si>
  <si>
    <t>Date: 3rd February 2025</t>
  </si>
  <si>
    <t>Date: 4th February 2025 (1405 Dev)</t>
  </si>
  <si>
    <t>Date: 10th February 2025</t>
  </si>
  <si>
    <t>Details of failure: My Course Information is not available on My course screen.</t>
  </si>
  <si>
    <t>Fixation Performed: Executed manually in daytime, Passed.</t>
  </si>
  <si>
    <t>Additional Information: 
1. As discussed, we are keeping drawer open at maximum possible level.
2. As discussed, created separate VIN3434 for Bench07 and tested and working on automation bench.</t>
  </si>
  <si>
    <t>Date: 7th February 2025</t>
  </si>
  <si>
    <t>Failure Category: TS Issue</t>
  </si>
  <si>
    <t>Failure Subcategory: Robot touch operation</t>
  </si>
  <si>
    <t>Failure Subcategory: Audio comparison</t>
  </si>
  <si>
    <t>Details of failure: Robot clicked while swiping in Test script while selecting PIT Message 3007.</t>
  </si>
  <si>
    <t xml:space="preserve">Details of failure: Audio Validation Failed </t>
  </si>
  <si>
    <t>Fixation Performed: TS modified and executed,Passed in daytime.</t>
  </si>
  <si>
    <t>Failure Subcategory: Other TS Failed</t>
  </si>
  <si>
    <t>Details of failure: AZone and BZone Blank, after pushing provisioning file.</t>
  </si>
  <si>
    <t>Additional Information: 
1. As discussed, we are keeping drawer open at maximum possible level.
2. As discussed, created separate VIN3434 for Bench07 and tested on both manual and automation bench, but VIN number is not working. We will check again tommarrow.</t>
  </si>
  <si>
    <t>Failure Subcategory: Whilenot Counter</t>
  </si>
  <si>
    <t>Details of failure: The counter stops before scrolling to the top of the one-to-one message screen.</t>
  </si>
  <si>
    <t>Fixation Performed: Increased whilenot loop break counter, for scrolling to the top of the one-to-one message screen.</t>
  </si>
  <si>
    <t>Date: 4th February 2025 (1404 Rel)</t>
  </si>
  <si>
    <t>Details of failure: Spot Information is not available on spot screen.</t>
  </si>
  <si>
    <t>Additional Information: 
1. As discussed, we are keeping drawer open at maximum possible level.</t>
  </si>
  <si>
    <t xml:space="preserve">Failure Category: ICB_Issue  </t>
  </si>
  <si>
    <t>Failure Subcategory: Timing Issue</t>
  </si>
  <si>
    <t>Details of failure: Active call screen is in transition, TS Objective Passed.</t>
  </si>
  <si>
    <t>Date: 6th February 2025</t>
  </si>
  <si>
    <t>Details of failure: PIT 3007 message not visible till all scrolling operations are performed.</t>
  </si>
  <si>
    <t>Fixation Performed: Executed in 1 iteration in daytime manually: Passed
Executed via automation: fail(as strenth issue faced again)</t>
  </si>
  <si>
    <t>Fixation Performed: While counter increased.</t>
  </si>
  <si>
    <t>Date: 9th February 2025</t>
  </si>
  <si>
    <t>Date: 6th February 2025 (1405 Dev)</t>
  </si>
  <si>
    <t>Date: 11th February 2025 (1404 Rel)</t>
  </si>
  <si>
    <t>KPIT_TC_DRT_INT_009</t>
  </si>
  <si>
    <t>KPIT_TC_DRT_INT_008</t>
  </si>
  <si>
    <t>KPIT_TC_DRT_USB_140</t>
  </si>
  <si>
    <t>KPIT_TC_DRT_PER_004</t>
  </si>
  <si>
    <t>KPIT_TC_DRT_INT_011</t>
  </si>
  <si>
    <t>KPIT_TC_DRT_INT_021</t>
  </si>
  <si>
    <t>KPIT_TC_DRT_HFT_035</t>
  </si>
  <si>
    <t>KPIT_TC_DRT_PER_002</t>
  </si>
  <si>
    <t>KPIT_TC_DRT_PER_010</t>
  </si>
  <si>
    <t>Date: 12th February 2025</t>
  </si>
  <si>
    <t>Date: 13th February 2025</t>
  </si>
  <si>
    <t>Date: 16th February 2025</t>
  </si>
  <si>
    <t>Date: 19th February 2025(1405 Dev)</t>
  </si>
  <si>
    <t>Failure Category: ICB_Issue  </t>
  </si>
  <si>
    <t>Failure Subcategory: valid Issue</t>
  </si>
  <si>
    <t>Details of failure: Blank Azone and Bzone observed post Reboot from HLC Debug screen in precondition to push provisioning file, hence precondition to set vin failed</t>
  </si>
  <si>
    <t>Details of failure: PJ04DEF00-1695 [Phone] Incoming Call Screen is not displayed on ICB</t>
  </si>
  <si>
    <t>Details of failure: PJ04DEF00-1431 [B-Zone] Heads Up Notification Popup stays for more than 10 Seconds on B-Zone when Owner user is logged in.</t>
  </si>
  <si>
    <t>Fixation Performed: PJ04DEF00-1695.</t>
  </si>
  <si>
    <t xml:space="preserve">Fixation Performed: Executed   Manually : Pass.
Test Pack Sequence in changed.
</t>
  </si>
  <si>
    <t>Date: 18th February 2025(1405 Dev)</t>
  </si>
  <si>
    <t>Failure Category: ICB_Issue   </t>
  </si>
  <si>
    <t>Failure Subcategory: Automation Set up malfunction</t>
  </si>
  <si>
    <t>Details of failure: This test case has to be executed on Bench06 due to T Variant specific hardware required for the execution of this test case is not available</t>
  </si>
  <si>
    <t>Details of failure: PJ04DEF00-1695 [Phone] Incoming Call Screen is not displayed on ICB.</t>
  </si>
  <si>
    <t>Fixation Performed: Executed on Bench 06, Passed</t>
  </si>
  <si>
    <t>Fixation Performed: Executed Manually  Pass -&gt;  Test Objective Pass
By following steps: Header Notification &gt; Incoming Call Notification &gt; Accept Incoming Call &gt; Active Call Screen</t>
  </si>
  <si>
    <t>Date: 17th February 2025(Internal Trigger)</t>
  </si>
  <si>
    <t>Details of failure: This test case has to be executed on Bench06 due to T Variant specific hardware required for the execution of this test case is not available.</t>
  </si>
  <si>
    <t xml:space="preserve">Fixation Performed: Test Script creation for Bench06 is in progress.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</si>
</sst>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F800]dddd\,\ mmmm\ dd\,\ yyyy"/>
  </numFmts>
  <fonts count="10" x14ac:knownFonts="1">
    <font>
      <sz val="11"/>
      <color theme="1"/>
      <name val="Calibri"/>
      <family val="2"/>
      <scheme val="minor"/>
    </font>
    <font>
      <b/>
      <sz val="11"/>
      <color theme="1"/>
      <name val="Calibri"/>
      <family val="2"/>
      <scheme val="minor"/>
    </font>
    <font>
      <b/>
      <sz val="11"/>
      <name val="Calibri"/>
      <family val="2"/>
      <scheme val="minor"/>
    </font>
    <font>
      <b/>
      <sz val="11"/>
      <color rgb="FF000000"/>
      <name val="Calibri"/>
      <family val="2"/>
    </font>
    <font>
      <sz val="11"/>
      <color rgb="FF000000"/>
      <name val="Calibri"/>
      <family val="2"/>
    </font>
    <font>
      <sz val="11"/>
      <color rgb="FF172B4D"/>
      <name val="Segoe UI"/>
      <family val="2"/>
    </font>
    <font>
      <b/>
      <sz val="11"/>
      <color rgb="FFFF0000"/>
      <name val="Calibri"/>
      <family val="2"/>
      <scheme val="minor"/>
    </font>
    <font>
      <b/>
      <sz val="24"/>
      <color rgb="FF172B4D"/>
      <name val="Calibri"/>
      <family val="2"/>
      <scheme val="minor"/>
    </font>
    <font>
      <u/>
      <sz val="11"/>
      <color theme="10"/>
      <name val="Calibri"/>
      <family val="2"/>
      <scheme val="minor"/>
    </font>
    <font>
      <sz val="11"/>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rgb="FFBDD7EE"/>
        <bgColor indexed="64"/>
      </patternFill>
    </fill>
    <fill>
      <patternFill patternType="solid">
        <fgColor rgb="FFDDEBF7"/>
        <bgColor indexed="64"/>
      </patternFill>
    </fill>
    <fill>
      <patternFill patternType="solid">
        <fgColor rgb="FFFFFFFF"/>
        <bgColor indexed="64"/>
      </patternFill>
    </fill>
  </fills>
  <borders count="27">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8" fillId="0" borderId="0"/>
  </cellStyleXfs>
  <cellXfs count="69">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164" fontId="1" fillId="2" borderId="3" xfId="0" applyNumberFormat="1" applyFont="1" applyFill="1" applyBorder="1" applyAlignment="1">
      <alignment horizontal="center"/>
    </xf>
    <xf numFmtId="164" fontId="1" fillId="2" borderId="2" xfId="0" applyNumberFormat="1" applyFont="1" applyFill="1" applyBorder="1" applyAlignment="1">
      <alignment horizontal="center"/>
    </xf>
    <xf numFmtId="0" fontId="1" fillId="2" borderId="4" xfId="0" applyFont="1" applyFill="1" applyBorder="1" applyAlignment="1">
      <alignment horizontal="center"/>
    </xf>
    <xf numFmtId="0" fontId="0" fillId="3" borderId="5" xfId="0" applyFill="1" applyBorder="1" applyAlignment="1">
      <alignment horizontal="center" vertical="center"/>
    </xf>
    <xf numFmtId="0" fontId="0" fillId="3" borderId="6" xfId="0" applyFill="1" applyBorder="1"/>
    <xf numFmtId="164" fontId="0" fillId="3" borderId="6" xfId="0" applyNumberFormat="1" applyFill="1" applyBorder="1"/>
    <xf numFmtId="164" fontId="0" fillId="3" borderId="7" xfId="0" applyNumberFormat="1" applyFill="1" applyBorder="1"/>
    <xf numFmtId="164" fontId="0" fillId="3" borderId="8" xfId="0" applyNumberFormat="1" applyFill="1" applyBorder="1"/>
    <xf numFmtId="0" fontId="0" fillId="3" borderId="7" xfId="0" applyFill="1" applyBorder="1"/>
    <xf numFmtId="0" fontId="2" fillId="0" borderId="0" xfId="0" applyFont="1"/>
    <xf numFmtId="0" fontId="0" fillId="3" borderId="9" xfId="0" applyFill="1" applyBorder="1"/>
    <xf numFmtId="164" fontId="0" fillId="3" borderId="10" xfId="0" applyNumberFormat="1" applyFill="1" applyBorder="1"/>
    <xf numFmtId="0" fontId="0" fillId="3" borderId="10" xfId="0" applyFill="1" applyBorder="1"/>
    <xf numFmtId="0" fontId="0" fillId="3" borderId="9" xfId="0" applyFill="1" applyBorder="1" applyAlignment="1">
      <alignment wrapText="1"/>
    </xf>
    <xf numFmtId="164" fontId="0" fillId="3" borderId="11" xfId="0" applyNumberFormat="1" applyFill="1" applyBorder="1"/>
    <xf numFmtId="164" fontId="0" fillId="3" borderId="12" xfId="0" applyNumberFormat="1" applyFill="1" applyBorder="1"/>
    <xf numFmtId="164" fontId="0" fillId="3" borderId="13" xfId="0" applyNumberFormat="1" applyFill="1" applyBorder="1"/>
    <xf numFmtId="0" fontId="1" fillId="3" borderId="1" xfId="0" applyFont="1" applyFill="1" applyBorder="1" applyAlignment="1">
      <alignment horizontal="center"/>
    </xf>
    <xf numFmtId="0" fontId="1" fillId="3" borderId="2" xfId="0" applyFont="1" applyFill="1" applyBorder="1" applyAlignment="1">
      <alignment wrapText="1"/>
    </xf>
    <xf numFmtId="164" fontId="1" fillId="3" borderId="14" xfId="0" applyNumberFormat="1" applyFont="1" applyFill="1" applyBorder="1" applyAlignment="1">
      <alignment wrapText="1"/>
    </xf>
    <xf numFmtId="164" fontId="1" fillId="3" borderId="2" xfId="0" applyNumberFormat="1" applyFont="1" applyFill="1" applyBorder="1" applyAlignment="1">
      <alignment wrapText="1"/>
    </xf>
    <xf numFmtId="164" fontId="1" fillId="3" borderId="4" xfId="0" applyNumberFormat="1" applyFont="1" applyFill="1" applyBorder="1"/>
    <xf numFmtId="0" fontId="0" fillId="3" borderId="2" xfId="0" applyFill="1" applyBorder="1"/>
    <xf numFmtId="0" fontId="3" fillId="4" borderId="2" xfId="0" applyFont="1" applyFill="1" applyBorder="1" applyAlignment="1">
      <alignment horizontal="center" vertical="center"/>
    </xf>
    <xf numFmtId="0" fontId="3" fillId="4" borderId="15"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6" xfId="0" applyFont="1" applyFill="1" applyBorder="1" applyAlignment="1">
      <alignment vertical="center"/>
    </xf>
    <xf numFmtId="20" fontId="4" fillId="5" borderId="10" xfId="0" applyNumberFormat="1" applyFont="1" applyFill="1" applyBorder="1" applyAlignment="1">
      <alignment horizontal="center" vertical="center"/>
    </xf>
    <xf numFmtId="0" fontId="0" fillId="0" borderId="0" xfId="0" applyAlignment="1">
      <alignment vertical="center" wrapText="1"/>
    </xf>
    <xf numFmtId="0" fontId="5" fillId="0" borderId="0" xfId="0" applyFont="1"/>
    <xf numFmtId="0" fontId="0" fillId="0" borderId="17" xfId="0" applyBorder="1" applyAlignment="1">
      <alignment vertical="center" wrapText="1"/>
    </xf>
    <xf numFmtId="0" fontId="0" fillId="0" borderId="18" xfId="0" applyBorder="1" applyAlignment="1">
      <alignment vertical="center" wrapText="1"/>
    </xf>
    <xf numFmtId="0" fontId="0" fillId="0" borderId="19" xfId="0" applyBorder="1" applyAlignment="1">
      <alignment vertical="center" wrapText="1"/>
    </xf>
    <xf numFmtId="0" fontId="0" fillId="0" borderId="10" xfId="0" applyBorder="1"/>
    <xf numFmtId="0" fontId="0" fillId="0" borderId="20" xfId="0" applyBorder="1"/>
    <xf numFmtId="0" fontId="0" fillId="0" borderId="21" xfId="0" applyBorder="1"/>
    <xf numFmtId="0" fontId="0" fillId="0" borderId="22" xfId="0" applyBorder="1"/>
    <xf numFmtId="20" fontId="0" fillId="0" borderId="0" xfId="0" applyNumberFormat="1"/>
    <xf numFmtId="0" fontId="1" fillId="3" borderId="2" xfId="0" applyFont="1" applyFill="1" applyBorder="1"/>
    <xf numFmtId="164" fontId="1" fillId="3" borderId="14" xfId="0" applyNumberFormat="1" applyFont="1" applyFill="1" applyBorder="1"/>
    <xf numFmtId="164" fontId="1" fillId="3" borderId="2" xfId="0" applyNumberFormat="1" applyFont="1" applyFill="1" applyBorder="1"/>
    <xf numFmtId="0" fontId="6" fillId="0" borderId="0" xfId="0" applyFont="1"/>
    <xf numFmtId="0" fontId="0" fillId="3" borderId="23" xfId="0" applyFill="1" applyBorder="1"/>
    <xf numFmtId="0" fontId="0" fillId="0" borderId="24" xfId="0" applyBorder="1"/>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0" fillId="0" borderId="0" xfId="0" applyAlignment="1">
      <alignment wrapText="1"/>
    </xf>
    <xf numFmtId="0" fontId="5" fillId="6" borderId="0" xfId="0" applyFont="1" applyFill="1" applyAlignment="1">
      <alignment horizontal="left" vertical="center" wrapText="1"/>
    </xf>
    <xf numFmtId="165" fontId="0" fillId="0" borderId="0" xfId="0" applyNumberFormat="1"/>
    <xf numFmtId="165" fontId="0" fillId="0" borderId="0" xfId="0" applyNumberFormat="1" applyAlignment="1">
      <alignment horizontal="left" vertical="top"/>
    </xf>
    <xf numFmtId="0" fontId="0" fillId="0" borderId="0" xfId="0" applyAlignment="1">
      <alignment horizontal="center" vertical="top"/>
    </xf>
    <xf numFmtId="0" fontId="7" fillId="0" borderId="0" xfId="0" applyFont="1" applyAlignment="1">
      <alignment vertical="center" wrapText="1"/>
    </xf>
    <xf numFmtId="0" fontId="4" fillId="5" borderId="18" xfId="0" applyFont="1" applyFill="1" applyBorder="1" applyAlignment="1">
      <alignment horizontal="center" vertical="center"/>
    </xf>
    <xf numFmtId="0" fontId="4" fillId="5" borderId="10" xfId="0" applyFont="1" applyFill="1" applyBorder="1" applyAlignment="1">
      <alignment vertical="center"/>
    </xf>
    <xf numFmtId="0" fontId="4" fillId="5" borderId="12" xfId="0" applyFont="1" applyFill="1" applyBorder="1" applyAlignment="1">
      <alignment vertical="center"/>
    </xf>
    <xf numFmtId="0" fontId="4" fillId="5" borderId="0" xfId="0" applyFont="1" applyFill="1" applyAlignment="1">
      <alignment vertical="center"/>
    </xf>
    <xf numFmtId="0" fontId="8" fillId="0" borderId="0" xfId="1"/>
    <xf numFmtId="0" fontId="1" fillId="0" borderId="0" xfId="0" applyFont="1" applyAlignment="1">
      <alignment vertical="center" wrapText="1"/>
    </xf>
    <xf numFmtId="14" fontId="0" fillId="0" borderId="0" xfId="0" applyNumberFormat="1"/>
    <xf numFmtId="0" fontId="2" fillId="0" borderId="25" xfId="0" applyFont="1" applyBorder="1"/>
    <xf numFmtId="0" fontId="2" fillId="0" borderId="3" xfId="0" applyFont="1" applyBorder="1"/>
    <xf numFmtId="0" fontId="9" fillId="0" borderId="0" xfId="0" applyFont="1"/>
    <xf numFmtId="0" fontId="2" fillId="0" borderId="26" xfId="0" applyFont="1" applyBorder="1"/>
    <xf numFmtId="0" fontId="2" fillId="0" borderId="14" xfId="0" applyFont="1" applyBorder="1"/>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3" Type="http://schemas.openxmlformats.org/officeDocument/2006/relationships/hyperlink" Target="mailto:Omkar@108" TargetMode="External"/><Relationship Id="rId2" Type="http://schemas.openxmlformats.org/officeDocument/2006/relationships/hyperlink" Target="mailto:Omkar@108" TargetMode="External"/><Relationship Id="rId1" Type="http://schemas.openxmlformats.org/officeDocument/2006/relationships/hyperlink" Target="mailto:Omkar@108" TargetMode="External"/><Relationship Id="rId4" Type="http://schemas.openxmlformats.org/officeDocument/2006/relationships/hyperlink" Target="mailto:Omkar@1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
  <sheetViews>
    <sheetView topLeftCell="A14" zoomScale="115" zoomScaleNormal="115" workbookViewId="0"/>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c r="D2" s="9"/>
      <c r="E2" s="9">
        <v>1.388888888888889E-2</v>
      </c>
      <c r="F2" s="10">
        <f t="shared" ref="F2:F21" si="1">D2-C2</f>
        <v>0</v>
      </c>
      <c r="G2" s="11"/>
      <c r="I2" s="12" t="s">
        <v>8</v>
      </c>
    </row>
    <row r="3" spans="1:9" x14ac:dyDescent="0.3">
      <c r="A3" s="6">
        <f t="shared" si="0"/>
        <v>2</v>
      </c>
      <c r="B3" s="13" t="s">
        <v>9</v>
      </c>
      <c r="C3" s="14"/>
      <c r="D3" s="10"/>
      <c r="E3" s="10">
        <v>1.7361111111111108E-2</v>
      </c>
      <c r="F3" s="10">
        <f t="shared" si="1"/>
        <v>0</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v>
      </c>
      <c r="G22" s="25"/>
    </row>
    <row r="25" spans="1:7" ht="15.75" customHeight="1" thickBot="1" x14ac:dyDescent="0.35"/>
    <row r="26" spans="1:7" ht="15.75" customHeight="1" thickBot="1" x14ac:dyDescent="0.35">
      <c r="A26" s="26" t="s">
        <v>0</v>
      </c>
      <c r="B26" s="27" t="s">
        <v>1</v>
      </c>
      <c r="C26" s="26" t="s">
        <v>19</v>
      </c>
    </row>
    <row r="27" spans="1:7" x14ac:dyDescent="0.3">
      <c r="A27" s="28">
        <v>1</v>
      </c>
      <c r="B27" s="29"/>
      <c r="C27" s="30"/>
    </row>
    <row r="28" spans="1:7" x14ac:dyDescent="0.3">
      <c r="A28" s="28">
        <v>2</v>
      </c>
      <c r="B28" s="29"/>
      <c r="C28" s="30"/>
    </row>
    <row r="29" spans="1:7" x14ac:dyDescent="0.3">
      <c r="A29" s="28">
        <v>3</v>
      </c>
      <c r="B29" s="29"/>
      <c r="C29" s="30"/>
    </row>
    <row r="30" spans="1:7" x14ac:dyDescent="0.3">
      <c r="A30" s="28">
        <v>4</v>
      </c>
      <c r="B30" s="29"/>
      <c r="C30" s="30"/>
    </row>
    <row r="31" spans="1:7" x14ac:dyDescent="0.3">
      <c r="A31" s="28">
        <v>5</v>
      </c>
      <c r="B31" s="29"/>
      <c r="C31" s="30"/>
    </row>
    <row r="32" spans="1:7" x14ac:dyDescent="0.3">
      <c r="A32" s="28">
        <v>6</v>
      </c>
      <c r="B32" s="29"/>
      <c r="C32" s="30"/>
    </row>
    <row r="33" spans="1:3" x14ac:dyDescent="0.3">
      <c r="A33" s="28">
        <v>7</v>
      </c>
      <c r="B33" s="29"/>
      <c r="C33" s="30"/>
    </row>
    <row r="34" spans="1:3" x14ac:dyDescent="0.3">
      <c r="A34" s="28">
        <v>8</v>
      </c>
      <c r="B34" s="29"/>
      <c r="C34" s="30"/>
    </row>
    <row r="35" spans="1:3" x14ac:dyDescent="0.3">
      <c r="A35" s="28">
        <v>9</v>
      </c>
      <c r="B35" s="29"/>
      <c r="C35" s="30"/>
    </row>
    <row r="36" spans="1:3" x14ac:dyDescent="0.3">
      <c r="A36" s="28">
        <v>10</v>
      </c>
      <c r="B36" s="29"/>
      <c r="C36" s="30"/>
    </row>
    <row r="37" spans="1:3" x14ac:dyDescent="0.3">
      <c r="A37" s="28">
        <v>11</v>
      </c>
      <c r="B37" s="29"/>
      <c r="C37" s="30"/>
    </row>
    <row r="38" spans="1:3" x14ac:dyDescent="0.3">
      <c r="A38" s="28">
        <v>12</v>
      </c>
      <c r="B38" s="29"/>
      <c r="C38" s="30"/>
    </row>
    <row r="39" spans="1:3" x14ac:dyDescent="0.3">
      <c r="A39" s="28">
        <v>13</v>
      </c>
      <c r="B39" s="29"/>
      <c r="C39" s="30"/>
    </row>
    <row r="40" spans="1:3" x14ac:dyDescent="0.3">
      <c r="A40" s="28">
        <v>14</v>
      </c>
      <c r="B40" s="29"/>
      <c r="C40" s="30"/>
    </row>
    <row r="41" spans="1:3" x14ac:dyDescent="0.3">
      <c r="A41" s="28">
        <v>15</v>
      </c>
      <c r="B41" s="29"/>
      <c r="C41" s="30"/>
    </row>
    <row r="42" spans="1:3" x14ac:dyDescent="0.3">
      <c r="A42" s="28">
        <v>16</v>
      </c>
      <c r="B42" s="29"/>
      <c r="C42" s="30"/>
    </row>
    <row r="43" spans="1:3" x14ac:dyDescent="0.3">
      <c r="A43" s="28">
        <v>17</v>
      </c>
      <c r="B43" s="29"/>
      <c r="C43"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topLeftCell="A26" workbookViewId="0">
      <selection activeCell="A27" sqref="A27:B42"/>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20</v>
      </c>
      <c r="B1" s="2" t="s">
        <v>1</v>
      </c>
      <c r="C1" s="3" t="s">
        <v>2</v>
      </c>
      <c r="D1" s="4" t="s">
        <v>3</v>
      </c>
      <c r="E1" s="4" t="s">
        <v>4</v>
      </c>
      <c r="F1" s="5" t="s">
        <v>5</v>
      </c>
      <c r="G1" s="2" t="s">
        <v>6</v>
      </c>
    </row>
    <row r="2" spans="1:9" x14ac:dyDescent="0.3">
      <c r="A2" s="6">
        <f t="shared" ref="A2:A21" si="0">ROW() - ROW($A$1)</f>
        <v>1</v>
      </c>
      <c r="B2" s="7" t="s">
        <v>7</v>
      </c>
      <c r="C2" s="8">
        <v>0.39583333333333331</v>
      </c>
      <c r="D2" s="9">
        <v>0.40833333333333333</v>
      </c>
      <c r="E2" s="9">
        <v>1.388888888888889E-2</v>
      </c>
      <c r="F2" s="10">
        <f t="shared" ref="F2:F21" si="1">D2-C2</f>
        <v>1.2500000000000011E-2</v>
      </c>
      <c r="G2" s="11"/>
      <c r="I2" s="12" t="s">
        <v>8</v>
      </c>
    </row>
    <row r="3" spans="1:9" x14ac:dyDescent="0.3">
      <c r="A3" s="6">
        <f t="shared" si="0"/>
        <v>2</v>
      </c>
      <c r="B3" s="13" t="s">
        <v>9</v>
      </c>
      <c r="C3" s="14">
        <v>0.40833333333333333</v>
      </c>
      <c r="D3" s="10">
        <v>0.41319444444444442</v>
      </c>
      <c r="E3" s="10">
        <v>1.7361111111111108E-2</v>
      </c>
      <c r="F3" s="10">
        <f t="shared" si="1"/>
        <v>4.8611111111110938E-3</v>
      </c>
      <c r="G3" s="11"/>
    </row>
    <row r="4" spans="1:9" x14ac:dyDescent="0.3">
      <c r="A4" s="6">
        <f t="shared" si="0"/>
        <v>3</v>
      </c>
      <c r="B4" s="15" t="s">
        <v>10</v>
      </c>
      <c r="C4" s="14">
        <v>0.41319444444444442</v>
      </c>
      <c r="D4" s="10">
        <v>0.4201388888888889</v>
      </c>
      <c r="E4" s="10">
        <v>6.9444444444444441E-3</v>
      </c>
      <c r="F4" s="10">
        <f t="shared" si="1"/>
        <v>6.9444444444444753E-3</v>
      </c>
      <c r="G4" s="11"/>
    </row>
    <row r="5" spans="1:9" x14ac:dyDescent="0.3">
      <c r="A5" s="6">
        <f t="shared" si="0"/>
        <v>4</v>
      </c>
      <c r="B5" s="13" t="s">
        <v>11</v>
      </c>
      <c r="C5" s="14">
        <v>0.4201388888888889</v>
      </c>
      <c r="D5" s="10">
        <v>0.43402777777777779</v>
      </c>
      <c r="E5" s="10">
        <v>4.1666666666666657E-2</v>
      </c>
      <c r="F5" s="10">
        <f t="shared" si="1"/>
        <v>1.3888888888888895E-2</v>
      </c>
      <c r="G5" s="11"/>
    </row>
    <row r="6" spans="1:9" x14ac:dyDescent="0.3">
      <c r="A6" s="6">
        <f t="shared" si="0"/>
        <v>5</v>
      </c>
      <c r="B6" s="13" t="s">
        <v>21</v>
      </c>
      <c r="C6" s="14">
        <v>0.43402777777777779</v>
      </c>
      <c r="D6" s="10">
        <v>0.44791666666666669</v>
      </c>
      <c r="E6" s="10"/>
      <c r="F6" s="10">
        <f t="shared" si="1"/>
        <v>1.3888888888888895E-2</v>
      </c>
      <c r="G6" s="11"/>
    </row>
    <row r="7" spans="1:9" x14ac:dyDescent="0.3">
      <c r="A7" s="6">
        <f t="shared" si="0"/>
        <v>6</v>
      </c>
      <c r="B7" s="13" t="s">
        <v>13</v>
      </c>
      <c r="C7" s="14">
        <v>0.44791666666666669</v>
      </c>
      <c r="D7" s="10">
        <v>0.4548611111111111</v>
      </c>
      <c r="E7" s="10"/>
      <c r="F7" s="10">
        <f t="shared" si="1"/>
        <v>6.9444444444444198E-3</v>
      </c>
      <c r="G7" s="11"/>
    </row>
    <row r="8" spans="1:9" x14ac:dyDescent="0.3">
      <c r="A8" s="6">
        <f t="shared" si="0"/>
        <v>7</v>
      </c>
      <c r="B8" s="16" t="s">
        <v>12</v>
      </c>
      <c r="C8" s="14">
        <v>0.45833333333333331</v>
      </c>
      <c r="D8" s="10">
        <v>0.46527777777777779</v>
      </c>
      <c r="E8" s="10"/>
      <c r="F8" s="14">
        <f t="shared" si="1"/>
        <v>6.9444444444444753E-3</v>
      </c>
      <c r="G8" s="11"/>
    </row>
    <row r="9" spans="1:9" x14ac:dyDescent="0.3">
      <c r="A9" s="6">
        <f t="shared" si="0"/>
        <v>8</v>
      </c>
      <c r="B9" s="16" t="s">
        <v>22</v>
      </c>
      <c r="C9" s="14">
        <v>0.47361111111111109</v>
      </c>
      <c r="D9" s="10">
        <v>0.48055555555555562</v>
      </c>
      <c r="E9" s="10"/>
      <c r="F9" s="10">
        <f t="shared" si="1"/>
        <v>6.9444444444445308E-3</v>
      </c>
      <c r="G9" s="11"/>
    </row>
    <row r="10" spans="1:9" ht="28.95" customHeight="1" x14ac:dyDescent="0.3">
      <c r="A10" s="6">
        <f t="shared" si="0"/>
        <v>9</v>
      </c>
      <c r="B10" s="16" t="s">
        <v>23</v>
      </c>
      <c r="C10" s="14">
        <v>0.4861111111111111</v>
      </c>
      <c r="D10" s="10">
        <v>0.52777777777777779</v>
      </c>
      <c r="E10" s="10"/>
      <c r="F10" s="10">
        <f t="shared" si="1"/>
        <v>4.1666666666666685E-2</v>
      </c>
      <c r="G10" s="11"/>
    </row>
    <row r="11" spans="1:9" x14ac:dyDescent="0.3">
      <c r="A11" s="6">
        <f t="shared" si="0"/>
        <v>10</v>
      </c>
      <c r="B11" s="16" t="s">
        <v>24</v>
      </c>
      <c r="C11" s="14">
        <v>0.54166666666666663</v>
      </c>
      <c r="D11" s="17">
        <v>0.58333333333333337</v>
      </c>
      <c r="E11" s="17"/>
      <c r="F11" s="10">
        <f t="shared" si="1"/>
        <v>4.1666666666666741E-2</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0.15625000000000022</v>
      </c>
      <c r="G22" s="25"/>
    </row>
    <row r="25" spans="1:7" ht="15.75" customHeight="1" thickBot="1" x14ac:dyDescent="0.35"/>
    <row r="26" spans="1:7" ht="15.75" customHeight="1" thickBot="1" x14ac:dyDescent="0.35">
      <c r="A26" s="26" t="s">
        <v>20</v>
      </c>
      <c r="B26" s="27" t="s">
        <v>1</v>
      </c>
      <c r="C26" s="26" t="s">
        <v>19</v>
      </c>
    </row>
    <row r="27" spans="1:7" x14ac:dyDescent="0.3">
      <c r="A27" s="28">
        <v>1</v>
      </c>
      <c r="B27" s="29" t="s">
        <v>7</v>
      </c>
      <c r="C27" s="30"/>
    </row>
    <row r="28" spans="1:7" x14ac:dyDescent="0.3">
      <c r="A28" s="28">
        <v>2</v>
      </c>
      <c r="B28" s="29" t="s">
        <v>9</v>
      </c>
      <c r="C28" s="30"/>
    </row>
    <row r="29" spans="1:7" x14ac:dyDescent="0.3">
      <c r="A29" s="28">
        <v>3</v>
      </c>
      <c r="B29" s="29" t="s">
        <v>10</v>
      </c>
      <c r="C29" s="30"/>
    </row>
    <row r="30" spans="1:7" x14ac:dyDescent="0.3">
      <c r="A30" s="28">
        <v>4</v>
      </c>
      <c r="B30" s="29" t="s">
        <v>11</v>
      </c>
      <c r="C30" s="30"/>
    </row>
    <row r="31" spans="1:7" x14ac:dyDescent="0.3">
      <c r="A31" s="28">
        <v>5</v>
      </c>
      <c r="B31" s="29" t="s">
        <v>21</v>
      </c>
      <c r="C31" s="30"/>
    </row>
    <row r="32" spans="1:7" x14ac:dyDescent="0.3">
      <c r="A32" s="28">
        <v>6</v>
      </c>
      <c r="B32" s="29" t="s">
        <v>13</v>
      </c>
      <c r="C32" s="30"/>
    </row>
    <row r="33" spans="1:3" x14ac:dyDescent="0.3">
      <c r="A33" s="28">
        <v>7</v>
      </c>
      <c r="B33" s="29" t="s">
        <v>12</v>
      </c>
      <c r="C33" s="30"/>
    </row>
    <row r="34" spans="1:3" x14ac:dyDescent="0.3">
      <c r="A34" s="28">
        <v>8</v>
      </c>
      <c r="B34" s="29" t="s">
        <v>22</v>
      </c>
      <c r="C34" s="30"/>
    </row>
    <row r="35" spans="1:3" x14ac:dyDescent="0.3">
      <c r="A35" s="28">
        <v>9</v>
      </c>
      <c r="B35" s="29" t="s">
        <v>23</v>
      </c>
      <c r="C35" s="30"/>
    </row>
    <row r="36" spans="1:3" x14ac:dyDescent="0.3">
      <c r="A36" s="28">
        <v>10</v>
      </c>
      <c r="B36" s="29" t="s">
        <v>25</v>
      </c>
      <c r="C36" s="30"/>
    </row>
    <row r="37" spans="1:3" x14ac:dyDescent="0.3">
      <c r="A37" s="28">
        <v>11</v>
      </c>
      <c r="B37" s="29" t="s">
        <v>14</v>
      </c>
      <c r="C37" s="30"/>
    </row>
    <row r="38" spans="1:3" x14ac:dyDescent="0.3">
      <c r="A38" s="28">
        <v>12</v>
      </c>
      <c r="B38" s="29" t="s">
        <v>26</v>
      </c>
      <c r="C38" s="30"/>
    </row>
    <row r="39" spans="1:3" x14ac:dyDescent="0.3">
      <c r="A39" s="28">
        <v>13</v>
      </c>
      <c r="B39" s="29" t="s">
        <v>27</v>
      </c>
      <c r="C39" s="30"/>
    </row>
    <row r="40" spans="1:3" x14ac:dyDescent="0.3">
      <c r="A40" s="28">
        <v>14</v>
      </c>
      <c r="B40" s="29" t="s">
        <v>16</v>
      </c>
      <c r="C40" s="30"/>
    </row>
    <row r="41" spans="1:3" x14ac:dyDescent="0.3">
      <c r="A41" s="28">
        <v>15</v>
      </c>
      <c r="B41" s="29" t="s">
        <v>28</v>
      </c>
      <c r="C41" s="30"/>
    </row>
    <row r="42" spans="1:3" x14ac:dyDescent="0.3">
      <c r="A42" s="28">
        <v>16</v>
      </c>
      <c r="B42" s="29" t="s">
        <v>17</v>
      </c>
      <c r="C42" s="30"/>
    </row>
    <row r="43" spans="1:3" x14ac:dyDescent="0.3">
      <c r="A43" s="28">
        <v>17</v>
      </c>
      <c r="B43" s="29"/>
      <c r="C43"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1"/>
  <sheetViews>
    <sheetView topLeftCell="A22" workbookViewId="0">
      <selection activeCell="A41" sqref="A27:B41"/>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20</v>
      </c>
      <c r="B1" s="2" t="s">
        <v>1</v>
      </c>
      <c r="C1" s="3" t="s">
        <v>2</v>
      </c>
      <c r="D1" s="4" t="s">
        <v>3</v>
      </c>
      <c r="E1" s="4" t="s">
        <v>4</v>
      </c>
      <c r="F1" s="5" t="s">
        <v>5</v>
      </c>
      <c r="G1" s="2" t="s">
        <v>6</v>
      </c>
    </row>
    <row r="2" spans="1:9" x14ac:dyDescent="0.3">
      <c r="A2" s="6">
        <f t="shared" ref="A2:A21" si="0">ROW() - ROW($A$1)</f>
        <v>1</v>
      </c>
      <c r="B2" s="7" t="s">
        <v>7</v>
      </c>
      <c r="C2" s="8">
        <v>0.38541666666666669</v>
      </c>
      <c r="D2" s="9">
        <v>0.39930555555555558</v>
      </c>
      <c r="E2" s="9"/>
      <c r="F2" s="10">
        <f>D2-C2</f>
        <v>1.3888888888888895E-2</v>
      </c>
      <c r="G2" s="11"/>
      <c r="I2" s="12" t="s">
        <v>8</v>
      </c>
    </row>
    <row r="3" spans="1:9" x14ac:dyDescent="0.3">
      <c r="A3" s="6">
        <f t="shared" si="0"/>
        <v>2</v>
      </c>
      <c r="B3" s="15" t="s">
        <v>10</v>
      </c>
      <c r="C3" s="14">
        <v>0.39930555555555558</v>
      </c>
      <c r="D3" s="10">
        <v>0.41666666666666669</v>
      </c>
      <c r="E3" s="10"/>
      <c r="F3" s="10">
        <f>D3-C3</f>
        <v>1.7361111111111105E-2</v>
      </c>
      <c r="G3" s="11"/>
    </row>
    <row r="4" spans="1:9" x14ac:dyDescent="0.3">
      <c r="A4" s="6">
        <f t="shared" si="0"/>
        <v>3</v>
      </c>
      <c r="B4" s="13" t="s">
        <v>29</v>
      </c>
      <c r="C4" s="14">
        <v>0.41666666666666669</v>
      </c>
      <c r="D4" s="10">
        <v>0.4375</v>
      </c>
      <c r="E4" s="10"/>
      <c r="F4" s="10">
        <f>D4-C4</f>
        <v>2.0833333333333315E-2</v>
      </c>
      <c r="G4" s="11"/>
    </row>
    <row r="5" spans="1:9" x14ac:dyDescent="0.3">
      <c r="A5" s="6">
        <f t="shared" si="0"/>
        <v>4</v>
      </c>
      <c r="B5" s="13" t="s">
        <v>30</v>
      </c>
      <c r="C5" s="14">
        <v>0.4375</v>
      </c>
      <c r="D5" s="10">
        <v>0.52083333333333337</v>
      </c>
      <c r="E5" s="10"/>
      <c r="F5" s="10">
        <f>D5-C5</f>
        <v>8.333333333333337E-2</v>
      </c>
      <c r="G5" s="11"/>
    </row>
    <row r="6" spans="1:9" x14ac:dyDescent="0.3">
      <c r="A6" s="6">
        <f t="shared" si="0"/>
        <v>5</v>
      </c>
      <c r="B6" s="16" t="s">
        <v>31</v>
      </c>
      <c r="C6" s="14">
        <v>0.52083333333333337</v>
      </c>
      <c r="D6" s="10">
        <v>0.5625</v>
      </c>
      <c r="E6" s="10"/>
      <c r="F6" s="10">
        <f>D6-C6</f>
        <v>4.166666666666663E-2</v>
      </c>
      <c r="G6" s="11"/>
    </row>
    <row r="7" spans="1:9" x14ac:dyDescent="0.3">
      <c r="A7" s="6">
        <f t="shared" si="0"/>
        <v>6</v>
      </c>
      <c r="B7" s="13" t="s">
        <v>32</v>
      </c>
      <c r="C7" s="14">
        <v>0.58333333333333337</v>
      </c>
      <c r="D7" s="10">
        <v>0.64583333333333337</v>
      </c>
      <c r="E7" s="10"/>
      <c r="F7" s="10">
        <v>4.1666666666666657E-2</v>
      </c>
      <c r="G7" s="11"/>
    </row>
    <row r="8" spans="1:9" x14ac:dyDescent="0.3">
      <c r="A8" s="6">
        <f t="shared" si="0"/>
        <v>7</v>
      </c>
      <c r="B8" s="16"/>
      <c r="C8" s="14"/>
      <c r="D8" s="10"/>
      <c r="E8" s="10"/>
      <c r="F8" s="14">
        <f>D8-C8</f>
        <v>0</v>
      </c>
      <c r="G8" s="11"/>
    </row>
    <row r="9" spans="1:9" x14ac:dyDescent="0.3">
      <c r="A9" s="6">
        <f t="shared" si="0"/>
        <v>8</v>
      </c>
      <c r="B9" s="16"/>
      <c r="C9" s="14"/>
      <c r="D9" s="10"/>
      <c r="E9" s="10"/>
      <c r="F9" s="10">
        <f>D9-C9</f>
        <v>0</v>
      </c>
      <c r="G9" s="11"/>
    </row>
    <row r="10" spans="1:9" x14ac:dyDescent="0.3">
      <c r="A10" s="6">
        <f t="shared" si="0"/>
        <v>9</v>
      </c>
      <c r="B10" s="16"/>
      <c r="C10" s="14"/>
      <c r="D10" s="10"/>
      <c r="E10" s="10"/>
      <c r="F10" s="10"/>
      <c r="G10" s="11"/>
    </row>
    <row r="11" spans="1:9" x14ac:dyDescent="0.3">
      <c r="A11" s="6">
        <f t="shared" si="0"/>
        <v>10</v>
      </c>
      <c r="B11" s="16"/>
      <c r="C11" s="14"/>
      <c r="D11" s="17"/>
      <c r="E11" s="17"/>
      <c r="F11" s="10"/>
      <c r="G11" s="11"/>
    </row>
    <row r="12" spans="1:9" x14ac:dyDescent="0.3">
      <c r="A12" s="6">
        <f t="shared" si="0"/>
        <v>11</v>
      </c>
      <c r="B12" s="16" t="s">
        <v>33</v>
      </c>
      <c r="C12" s="14"/>
      <c r="D12" s="17"/>
      <c r="E12" s="17"/>
      <c r="F12" s="10">
        <v>1.041666666666667E-2</v>
      </c>
      <c r="G12" s="11"/>
    </row>
    <row r="13" spans="1:9" x14ac:dyDescent="0.3">
      <c r="A13" s="6">
        <f t="shared" si="0"/>
        <v>12</v>
      </c>
      <c r="B13" s="16" t="s">
        <v>34</v>
      </c>
      <c r="C13" s="14"/>
      <c r="D13" s="17"/>
      <c r="E13" s="17"/>
      <c r="F13" s="10">
        <v>1.041666666666667E-2</v>
      </c>
      <c r="G13" s="11"/>
    </row>
    <row r="14" spans="1:9" x14ac:dyDescent="0.3">
      <c r="A14" s="6">
        <f t="shared" si="0"/>
        <v>13</v>
      </c>
      <c r="B14" s="16" t="s">
        <v>35</v>
      </c>
      <c r="C14" s="14"/>
      <c r="D14" s="17"/>
      <c r="E14" s="17"/>
      <c r="F14" s="10">
        <v>1.041666666666667E-2</v>
      </c>
      <c r="G14" s="11"/>
    </row>
    <row r="15" spans="1:9" x14ac:dyDescent="0.3">
      <c r="A15" s="6">
        <f t="shared" si="0"/>
        <v>14</v>
      </c>
      <c r="B15" s="16" t="s">
        <v>25</v>
      </c>
      <c r="C15" s="14"/>
      <c r="D15" s="17"/>
      <c r="E15" s="17"/>
      <c r="F15" s="10">
        <v>1.041666666666667E-2</v>
      </c>
      <c r="G15" s="11"/>
    </row>
    <row r="16" spans="1:9" x14ac:dyDescent="0.3">
      <c r="A16" s="6">
        <f t="shared" si="0"/>
        <v>15</v>
      </c>
      <c r="B16" s="16" t="s">
        <v>14</v>
      </c>
      <c r="C16" s="14"/>
      <c r="D16" s="17"/>
      <c r="E16" s="17"/>
      <c r="F16" s="10">
        <v>1.041666666666667E-2</v>
      </c>
      <c r="G16" s="11"/>
    </row>
    <row r="17" spans="1:7" x14ac:dyDescent="0.3">
      <c r="A17" s="6">
        <f t="shared" si="0"/>
        <v>16</v>
      </c>
      <c r="B17" s="16" t="s">
        <v>26</v>
      </c>
      <c r="C17" s="14"/>
      <c r="D17" s="17"/>
      <c r="E17" s="17"/>
      <c r="F17" s="10">
        <v>6.25E-2</v>
      </c>
      <c r="G17" s="11"/>
    </row>
    <row r="18" spans="1:7" x14ac:dyDescent="0.3">
      <c r="A18" s="6">
        <f t="shared" si="0"/>
        <v>17</v>
      </c>
      <c r="B18" s="16" t="s">
        <v>27</v>
      </c>
      <c r="C18" s="14"/>
      <c r="D18" s="17"/>
      <c r="E18" s="17"/>
      <c r="F18" s="10">
        <v>1.041666666666667E-2</v>
      </c>
      <c r="G18" s="11"/>
    </row>
    <row r="19" spans="1:7" x14ac:dyDescent="0.3">
      <c r="A19" s="6">
        <f t="shared" si="0"/>
        <v>18</v>
      </c>
      <c r="B19" s="16" t="s">
        <v>16</v>
      </c>
      <c r="C19" s="14"/>
      <c r="D19" s="17"/>
      <c r="E19" s="17"/>
      <c r="F19" s="10">
        <v>1.041666666666667E-2</v>
      </c>
      <c r="G19" s="11"/>
    </row>
    <row r="20" spans="1:7" x14ac:dyDescent="0.3">
      <c r="A20" s="6">
        <f t="shared" si="0"/>
        <v>19</v>
      </c>
      <c r="B20" s="16" t="s">
        <v>28</v>
      </c>
      <c r="C20" s="14"/>
      <c r="D20" s="17"/>
      <c r="E20" s="17"/>
      <c r="F20" s="10">
        <v>6.9444444444444441E-3</v>
      </c>
      <c r="G20" s="11"/>
    </row>
    <row r="21" spans="1:7" ht="15.75" customHeight="1" thickBot="1" x14ac:dyDescent="0.35">
      <c r="A21" s="6">
        <f t="shared" si="0"/>
        <v>20</v>
      </c>
      <c r="B21" s="16" t="s">
        <v>17</v>
      </c>
      <c r="C21" s="18"/>
      <c r="D21" s="19"/>
      <c r="E21" s="17"/>
      <c r="F21" s="10">
        <v>6.9444444444444441E-3</v>
      </c>
      <c r="G21" s="11"/>
    </row>
    <row r="22" spans="1:7" ht="15.75" customHeight="1" thickBot="1" x14ac:dyDescent="0.35">
      <c r="A22" s="20"/>
      <c r="B22" s="21" t="s">
        <v>18</v>
      </c>
      <c r="C22" s="22"/>
      <c r="D22" s="22"/>
      <c r="E22" s="23"/>
      <c r="F22" s="24">
        <f>SUM(F2:F21)</f>
        <v>0.36805555555555552</v>
      </c>
      <c r="G22" s="25"/>
    </row>
    <row r="25" spans="1:7" ht="15.75" customHeight="1" thickBot="1" x14ac:dyDescent="0.35"/>
    <row r="26" spans="1:7" ht="15.75" customHeight="1" thickBot="1" x14ac:dyDescent="0.35">
      <c r="A26" s="26" t="s">
        <v>0</v>
      </c>
      <c r="B26" s="27" t="s">
        <v>1</v>
      </c>
      <c r="C26" s="26" t="s">
        <v>19</v>
      </c>
    </row>
    <row r="27" spans="1:7" x14ac:dyDescent="0.3">
      <c r="A27" s="28">
        <v>1</v>
      </c>
      <c r="B27" s="29" t="s">
        <v>7</v>
      </c>
      <c r="C27" s="30">
        <v>1.388888888888889E-2</v>
      </c>
    </row>
    <row r="28" spans="1:7" x14ac:dyDescent="0.3">
      <c r="A28" s="28">
        <v>2</v>
      </c>
      <c r="B28" s="29" t="s">
        <v>10</v>
      </c>
      <c r="C28" s="30">
        <v>1.7361111111111108E-2</v>
      </c>
    </row>
    <row r="29" spans="1:7" x14ac:dyDescent="0.3">
      <c r="A29" s="28">
        <v>3</v>
      </c>
      <c r="B29" s="29" t="s">
        <v>29</v>
      </c>
      <c r="C29" s="30">
        <v>2.0833333333333329E-2</v>
      </c>
    </row>
    <row r="30" spans="1:7" x14ac:dyDescent="0.3">
      <c r="A30" s="28">
        <v>4</v>
      </c>
      <c r="B30" s="29" t="s">
        <v>30</v>
      </c>
      <c r="C30" s="30">
        <v>8.3333333333333329E-2</v>
      </c>
    </row>
    <row r="31" spans="1:7" x14ac:dyDescent="0.3">
      <c r="A31" s="28">
        <v>5</v>
      </c>
      <c r="B31" s="29" t="s">
        <v>32</v>
      </c>
      <c r="C31" s="30">
        <v>4.1666666666666657E-2</v>
      </c>
    </row>
    <row r="32" spans="1:7" x14ac:dyDescent="0.3">
      <c r="A32" s="28">
        <v>6</v>
      </c>
      <c r="B32" s="29" t="s">
        <v>33</v>
      </c>
      <c r="C32" s="30">
        <v>1.041666666666667E-2</v>
      </c>
    </row>
    <row r="33" spans="1:3" x14ac:dyDescent="0.3">
      <c r="A33" s="28">
        <v>7</v>
      </c>
      <c r="B33" s="29" t="s">
        <v>34</v>
      </c>
      <c r="C33" s="30">
        <v>1.041666666666667E-2</v>
      </c>
    </row>
    <row r="34" spans="1:3" x14ac:dyDescent="0.3">
      <c r="A34" s="28">
        <v>8</v>
      </c>
      <c r="B34" s="29" t="s">
        <v>35</v>
      </c>
      <c r="C34" s="30">
        <v>1.041666666666667E-2</v>
      </c>
    </row>
    <row r="35" spans="1:3" x14ac:dyDescent="0.3">
      <c r="A35" s="28">
        <v>9</v>
      </c>
      <c r="B35" s="29" t="s">
        <v>25</v>
      </c>
      <c r="C35" s="30">
        <v>1.041666666666667E-2</v>
      </c>
    </row>
    <row r="36" spans="1:3" x14ac:dyDescent="0.3">
      <c r="A36" s="28">
        <v>10</v>
      </c>
      <c r="B36" s="29" t="s">
        <v>14</v>
      </c>
      <c r="C36" s="30">
        <v>1.041666666666667E-2</v>
      </c>
    </row>
    <row r="37" spans="1:3" x14ac:dyDescent="0.3">
      <c r="A37" s="28">
        <v>11</v>
      </c>
      <c r="B37" s="29" t="s">
        <v>26</v>
      </c>
      <c r="C37" s="30">
        <v>6.25E-2</v>
      </c>
    </row>
    <row r="38" spans="1:3" x14ac:dyDescent="0.3">
      <c r="A38" s="28">
        <v>12</v>
      </c>
      <c r="B38" s="29" t="s">
        <v>27</v>
      </c>
      <c r="C38" s="30">
        <v>1.041666666666667E-2</v>
      </c>
    </row>
    <row r="39" spans="1:3" x14ac:dyDescent="0.3">
      <c r="A39" s="28">
        <v>13</v>
      </c>
      <c r="B39" s="29" t="s">
        <v>16</v>
      </c>
      <c r="C39" s="30">
        <v>1.041666666666667E-2</v>
      </c>
    </row>
    <row r="40" spans="1:3" x14ac:dyDescent="0.3">
      <c r="A40" s="28">
        <v>14</v>
      </c>
      <c r="B40" s="29" t="s">
        <v>28</v>
      </c>
      <c r="C40" s="30">
        <v>6.9444444444444441E-3</v>
      </c>
    </row>
    <row r="41" spans="1:3" x14ac:dyDescent="0.3">
      <c r="A41" s="28">
        <v>15</v>
      </c>
      <c r="B41" s="29" t="s">
        <v>17</v>
      </c>
      <c r="C41" s="30">
        <v>6.9444444444444441E-3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8"/>
  <sheetViews>
    <sheetView topLeftCell="A37" workbookViewId="0">
      <selection activeCell="B51" sqref="B51:C57"/>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20</v>
      </c>
      <c r="B1" s="2" t="s">
        <v>1</v>
      </c>
      <c r="C1" s="3" t="s">
        <v>2</v>
      </c>
      <c r="D1" s="4" t="s">
        <v>3</v>
      </c>
      <c r="E1" s="4" t="s">
        <v>4</v>
      </c>
      <c r="F1" s="5" t="s">
        <v>5</v>
      </c>
      <c r="G1" s="2" t="s">
        <v>6</v>
      </c>
    </row>
    <row r="2" spans="1:9" x14ac:dyDescent="0.3">
      <c r="A2" s="6">
        <f t="shared" ref="A2:A30" si="0">ROW() - ROW($A$1)</f>
        <v>1</v>
      </c>
      <c r="B2" s="7" t="s">
        <v>36</v>
      </c>
      <c r="C2" s="8"/>
      <c r="D2" s="9"/>
      <c r="E2" s="9">
        <v>1.388888888888889E-2</v>
      </c>
      <c r="F2" s="10">
        <v>1.7361111111111108E-2</v>
      </c>
      <c r="G2" s="11"/>
      <c r="I2" s="12" t="s">
        <v>8</v>
      </c>
    </row>
    <row r="3" spans="1:9" x14ac:dyDescent="0.3">
      <c r="A3" s="6">
        <f t="shared" si="0"/>
        <v>2</v>
      </c>
      <c r="B3" s="13" t="s">
        <v>37</v>
      </c>
      <c r="C3" s="14"/>
      <c r="D3" s="10"/>
      <c r="E3" s="10">
        <v>1.7361111111111108E-2</v>
      </c>
      <c r="F3" s="10">
        <v>1.041666666666667E-2</v>
      </c>
      <c r="G3" s="11"/>
    </row>
    <row r="4" spans="1:9" x14ac:dyDescent="0.3">
      <c r="A4" s="6">
        <f t="shared" si="0"/>
        <v>3</v>
      </c>
      <c r="B4" s="15" t="s">
        <v>38</v>
      </c>
      <c r="C4" s="14"/>
      <c r="D4" s="10"/>
      <c r="E4" s="10">
        <v>6.9444444444444441E-3</v>
      </c>
      <c r="F4" s="10">
        <v>2.0833333333333329E-2</v>
      </c>
      <c r="G4" s="11"/>
    </row>
    <row r="5" spans="1:9" x14ac:dyDescent="0.3">
      <c r="A5" s="6">
        <f t="shared" si="0"/>
        <v>4</v>
      </c>
      <c r="B5" s="13" t="s">
        <v>39</v>
      </c>
      <c r="C5" s="14"/>
      <c r="D5" s="10"/>
      <c r="E5" s="10">
        <v>4.1666666666666657E-2</v>
      </c>
      <c r="F5" s="10">
        <v>3.125E-2</v>
      </c>
      <c r="G5" s="11"/>
    </row>
    <row r="6" spans="1:9" ht="28.8" customHeight="1" x14ac:dyDescent="0.3">
      <c r="A6" s="6">
        <f t="shared" si="0"/>
        <v>5</v>
      </c>
      <c r="B6" s="16" t="s">
        <v>40</v>
      </c>
      <c r="C6" s="14"/>
      <c r="D6" s="10"/>
      <c r="E6" s="10"/>
      <c r="F6" s="10">
        <v>1.7361111111111108E-2</v>
      </c>
      <c r="G6" s="11"/>
    </row>
    <row r="7" spans="1:9" x14ac:dyDescent="0.3">
      <c r="A7" s="6">
        <f t="shared" si="0"/>
        <v>6</v>
      </c>
      <c r="B7" s="13" t="s">
        <v>41</v>
      </c>
      <c r="C7" s="14"/>
      <c r="D7" s="10"/>
      <c r="E7" s="10"/>
      <c r="F7" s="10">
        <v>1.041666666666667E-2</v>
      </c>
      <c r="G7" s="11"/>
    </row>
    <row r="8" spans="1:9" x14ac:dyDescent="0.3">
      <c r="A8" s="6">
        <f t="shared" si="0"/>
        <v>7</v>
      </c>
      <c r="B8" s="16" t="s">
        <v>42</v>
      </c>
      <c r="C8" s="14"/>
      <c r="D8" s="10"/>
      <c r="E8" s="10"/>
      <c r="F8" s="14">
        <v>6.9444444444444441E-3</v>
      </c>
      <c r="G8" s="11"/>
    </row>
    <row r="9" spans="1:9" ht="28.8" customHeight="1" x14ac:dyDescent="0.3">
      <c r="A9" s="6">
        <f t="shared" si="0"/>
        <v>8</v>
      </c>
      <c r="B9" s="16" t="s">
        <v>43</v>
      </c>
      <c r="C9" s="14"/>
      <c r="D9" s="10"/>
      <c r="E9" s="10"/>
      <c r="F9" s="10">
        <v>1.388888888888889E-2</v>
      </c>
      <c r="G9" s="11"/>
    </row>
    <row r="10" spans="1:9" ht="28.8" customHeight="1" x14ac:dyDescent="0.3">
      <c r="A10" s="6">
        <f t="shared" si="0"/>
        <v>9</v>
      </c>
      <c r="B10" s="16" t="s">
        <v>44</v>
      </c>
      <c r="C10" s="14"/>
      <c r="D10" s="10"/>
      <c r="E10" s="10"/>
      <c r="F10" s="10">
        <v>1.388888888888889E-2</v>
      </c>
      <c r="G10" s="11"/>
    </row>
    <row r="11" spans="1:9" x14ac:dyDescent="0.3">
      <c r="A11" s="6">
        <f t="shared" si="0"/>
        <v>10</v>
      </c>
      <c r="B11" s="16" t="s">
        <v>45</v>
      </c>
      <c r="C11" s="14"/>
      <c r="D11" s="17"/>
      <c r="E11" s="17"/>
      <c r="F11" s="10">
        <v>6.9444444444444441E-3</v>
      </c>
      <c r="G11" s="11"/>
    </row>
    <row r="12" spans="1:9" ht="28.8" customHeight="1" x14ac:dyDescent="0.3">
      <c r="A12" s="6">
        <f t="shared" si="0"/>
        <v>11</v>
      </c>
      <c r="B12" s="16" t="s">
        <v>46</v>
      </c>
      <c r="C12" s="14"/>
      <c r="D12" s="17"/>
      <c r="E12" s="17"/>
      <c r="F12" s="10">
        <v>6.9444444444444441E-3</v>
      </c>
      <c r="G12" s="11"/>
    </row>
    <row r="13" spans="1:9" x14ac:dyDescent="0.3">
      <c r="A13" s="6">
        <f t="shared" si="0"/>
        <v>12</v>
      </c>
      <c r="B13" s="16" t="s">
        <v>47</v>
      </c>
      <c r="C13" s="14"/>
      <c r="D13" s="17"/>
      <c r="E13" s="17"/>
      <c r="F13" s="10">
        <v>1.7361111111111108E-2</v>
      </c>
      <c r="G13" s="11"/>
    </row>
    <row r="14" spans="1:9" x14ac:dyDescent="0.3">
      <c r="A14" s="6">
        <f t="shared" si="0"/>
        <v>13</v>
      </c>
      <c r="B14" s="16" t="s">
        <v>48</v>
      </c>
      <c r="C14" s="14"/>
      <c r="D14" s="17"/>
      <c r="E14" s="17"/>
      <c r="F14" s="10">
        <v>1.7361111111111108E-2</v>
      </c>
      <c r="G14" s="11"/>
    </row>
    <row r="15" spans="1:9" x14ac:dyDescent="0.3">
      <c r="A15" s="6">
        <f t="shared" si="0"/>
        <v>14</v>
      </c>
      <c r="B15" s="16"/>
      <c r="C15" s="14"/>
      <c r="D15" s="17"/>
      <c r="E15" s="17"/>
      <c r="F15" s="10">
        <f>D15-C15</f>
        <v>0</v>
      </c>
      <c r="G15" s="11"/>
    </row>
    <row r="16" spans="1:9" x14ac:dyDescent="0.3">
      <c r="A16" s="6">
        <f t="shared" si="0"/>
        <v>15</v>
      </c>
      <c r="B16" s="16"/>
      <c r="C16" s="14"/>
      <c r="D16" s="17"/>
      <c r="E16" s="17"/>
      <c r="F16" s="10">
        <f>D16-C16</f>
        <v>0</v>
      </c>
      <c r="G16" s="11"/>
    </row>
    <row r="17" spans="1:7" x14ac:dyDescent="0.3">
      <c r="A17" s="6">
        <f t="shared" si="0"/>
        <v>16</v>
      </c>
      <c r="B17" s="16"/>
      <c r="C17" s="14"/>
      <c r="D17" s="17"/>
      <c r="E17" s="17"/>
      <c r="F17" s="10">
        <f>D17-C17</f>
        <v>0</v>
      </c>
      <c r="G17" s="11"/>
    </row>
    <row r="18" spans="1:7" x14ac:dyDescent="0.3">
      <c r="A18" s="6">
        <f t="shared" si="0"/>
        <v>17</v>
      </c>
      <c r="B18" s="16"/>
      <c r="C18" s="14"/>
      <c r="D18" s="17"/>
      <c r="E18" s="17"/>
      <c r="F18" s="10">
        <f>D18-C18</f>
        <v>0</v>
      </c>
      <c r="G18" s="11"/>
    </row>
    <row r="19" spans="1:7" x14ac:dyDescent="0.3">
      <c r="A19" s="6">
        <f t="shared" si="0"/>
        <v>18</v>
      </c>
      <c r="B19" s="16"/>
      <c r="C19" s="14"/>
      <c r="D19" s="17"/>
      <c r="E19" s="17"/>
      <c r="F19" s="10">
        <f>D19-C19</f>
        <v>0</v>
      </c>
      <c r="G19" s="11"/>
    </row>
    <row r="20" spans="1:7" x14ac:dyDescent="0.3">
      <c r="A20" s="6">
        <f t="shared" si="0"/>
        <v>19</v>
      </c>
      <c r="B20" s="16"/>
      <c r="C20" s="14"/>
      <c r="D20" s="17"/>
      <c r="E20" s="17"/>
      <c r="F20" s="10"/>
      <c r="G20" s="11"/>
    </row>
    <row r="21" spans="1:7" x14ac:dyDescent="0.3">
      <c r="A21" s="6">
        <f t="shared" si="0"/>
        <v>20</v>
      </c>
      <c r="B21" s="16"/>
      <c r="C21" s="14"/>
      <c r="D21" s="17"/>
      <c r="E21" s="17"/>
      <c r="F21" s="10"/>
      <c r="G21" s="11"/>
    </row>
    <row r="22" spans="1:7" x14ac:dyDescent="0.3">
      <c r="A22" s="6">
        <f t="shared" si="0"/>
        <v>21</v>
      </c>
      <c r="B22" s="16" t="s">
        <v>34</v>
      </c>
      <c r="C22" s="14"/>
      <c r="D22" s="17"/>
      <c r="E22" s="17"/>
      <c r="F22" s="10">
        <v>1.041666666666667E-2</v>
      </c>
      <c r="G22" s="11"/>
    </row>
    <row r="23" spans="1:7" x14ac:dyDescent="0.3">
      <c r="A23" s="6">
        <f t="shared" si="0"/>
        <v>22</v>
      </c>
      <c r="B23" s="16" t="s">
        <v>35</v>
      </c>
      <c r="C23" s="14"/>
      <c r="D23" s="17"/>
      <c r="E23" s="17"/>
      <c r="F23" s="10">
        <v>1.041666666666667E-2</v>
      </c>
      <c r="G23" s="11"/>
    </row>
    <row r="24" spans="1:7" x14ac:dyDescent="0.3">
      <c r="A24" s="6">
        <f t="shared" si="0"/>
        <v>23</v>
      </c>
      <c r="B24" s="16" t="s">
        <v>25</v>
      </c>
      <c r="C24" s="14"/>
      <c r="D24" s="17"/>
      <c r="E24" s="17"/>
      <c r="F24" s="10">
        <v>1.041666666666667E-2</v>
      </c>
      <c r="G24" s="11"/>
    </row>
    <row r="25" spans="1:7" x14ac:dyDescent="0.3">
      <c r="A25" s="6">
        <f t="shared" si="0"/>
        <v>24</v>
      </c>
      <c r="B25" s="16" t="s">
        <v>14</v>
      </c>
      <c r="C25" s="14"/>
      <c r="D25" s="17"/>
      <c r="E25" s="17"/>
      <c r="F25" s="10">
        <v>1.041666666666667E-2</v>
      </c>
      <c r="G25" s="11"/>
    </row>
    <row r="26" spans="1:7" x14ac:dyDescent="0.3">
      <c r="A26" s="6">
        <f t="shared" si="0"/>
        <v>25</v>
      </c>
      <c r="B26" s="16" t="s">
        <v>26</v>
      </c>
      <c r="C26" s="14"/>
      <c r="D26" s="17"/>
      <c r="E26" s="17"/>
      <c r="F26" s="10">
        <v>6.25E-2</v>
      </c>
      <c r="G26" s="11"/>
    </row>
    <row r="27" spans="1:7" x14ac:dyDescent="0.3">
      <c r="A27" s="6">
        <f t="shared" si="0"/>
        <v>26</v>
      </c>
      <c r="B27" s="16" t="s">
        <v>27</v>
      </c>
      <c r="C27" s="14"/>
      <c r="D27" s="17"/>
      <c r="E27" s="17"/>
      <c r="F27" s="10">
        <v>1.041666666666667E-2</v>
      </c>
      <c r="G27" s="11"/>
    </row>
    <row r="28" spans="1:7" x14ac:dyDescent="0.3">
      <c r="A28" s="6">
        <f t="shared" si="0"/>
        <v>27</v>
      </c>
      <c r="B28" s="16" t="s">
        <v>16</v>
      </c>
      <c r="C28" s="14"/>
      <c r="D28" s="17"/>
      <c r="E28" s="17"/>
      <c r="F28" s="10">
        <v>1.041666666666667E-2</v>
      </c>
      <c r="G28" s="11"/>
    </row>
    <row r="29" spans="1:7" x14ac:dyDescent="0.3">
      <c r="A29" s="6">
        <f t="shared" si="0"/>
        <v>28</v>
      </c>
      <c r="B29" s="16" t="s">
        <v>28</v>
      </c>
      <c r="C29" s="14"/>
      <c r="D29" s="17"/>
      <c r="E29" s="17"/>
      <c r="F29" s="10">
        <v>6.9444444444444441E-3</v>
      </c>
      <c r="G29" s="11"/>
    </row>
    <row r="30" spans="1:7" ht="15.75" customHeight="1" thickBot="1" x14ac:dyDescent="0.35">
      <c r="A30" s="6">
        <f t="shared" si="0"/>
        <v>29</v>
      </c>
      <c r="B30" s="16" t="s">
        <v>17</v>
      </c>
      <c r="C30" s="18"/>
      <c r="D30" s="19"/>
      <c r="E30" s="17"/>
      <c r="F30" s="10">
        <v>6.9444444444444441E-3</v>
      </c>
      <c r="G30" s="11"/>
    </row>
    <row r="31" spans="1:7" ht="15.75" customHeight="1" thickBot="1" x14ac:dyDescent="0.35">
      <c r="A31" s="20"/>
      <c r="B31" s="21" t="s">
        <v>18</v>
      </c>
      <c r="C31" s="22"/>
      <c r="D31" s="22"/>
      <c r="E31" s="23"/>
      <c r="F31" s="24">
        <f>SUM(F2:F30)</f>
        <v>0.32986111111111105</v>
      </c>
      <c r="G31" s="25"/>
    </row>
    <row r="34" spans="1:3" ht="15.75" customHeight="1" thickBot="1" x14ac:dyDescent="0.35"/>
    <row r="35" spans="1:3" ht="15.75" customHeight="1" thickBot="1" x14ac:dyDescent="0.35">
      <c r="A35" s="26" t="s">
        <v>49</v>
      </c>
      <c r="B35" s="27" t="s">
        <v>1</v>
      </c>
      <c r="C35" s="26" t="s">
        <v>19</v>
      </c>
    </row>
    <row r="36" spans="1:3" x14ac:dyDescent="0.3">
      <c r="A36" s="28">
        <v>1</v>
      </c>
      <c r="B36" s="29" t="s">
        <v>36</v>
      </c>
      <c r="C36" s="30">
        <v>1.041666666666667E-2</v>
      </c>
    </row>
    <row r="37" spans="1:3" x14ac:dyDescent="0.3">
      <c r="A37" s="28">
        <v>2</v>
      </c>
      <c r="B37" s="29" t="s">
        <v>37</v>
      </c>
      <c r="C37" s="30">
        <v>1.041666666666667E-2</v>
      </c>
    </row>
    <row r="38" spans="1:3" x14ac:dyDescent="0.3">
      <c r="A38" s="28">
        <v>3</v>
      </c>
      <c r="B38" s="29" t="s">
        <v>38</v>
      </c>
      <c r="C38" s="30">
        <v>2.0833333333333329E-2</v>
      </c>
    </row>
    <row r="39" spans="1:3" x14ac:dyDescent="0.3">
      <c r="A39" s="28">
        <v>4</v>
      </c>
      <c r="B39" s="29" t="s">
        <v>39</v>
      </c>
      <c r="C39" s="30">
        <v>3.125E-2</v>
      </c>
    </row>
    <row r="40" spans="1:3" x14ac:dyDescent="0.3">
      <c r="A40" s="28">
        <v>5</v>
      </c>
      <c r="B40" s="29" t="s">
        <v>40</v>
      </c>
      <c r="C40" s="30">
        <v>1.041666666666667E-2</v>
      </c>
    </row>
    <row r="41" spans="1:3" x14ac:dyDescent="0.3">
      <c r="A41" s="28">
        <v>6</v>
      </c>
      <c r="B41" s="29" t="s">
        <v>41</v>
      </c>
      <c r="C41" s="30">
        <v>1.041666666666667E-2</v>
      </c>
    </row>
    <row r="42" spans="1:3" x14ac:dyDescent="0.3">
      <c r="A42" s="28">
        <v>7</v>
      </c>
      <c r="B42" s="29" t="s">
        <v>42</v>
      </c>
      <c r="C42" s="30">
        <v>6.9444444444444441E-3</v>
      </c>
    </row>
    <row r="43" spans="1:3" x14ac:dyDescent="0.3">
      <c r="A43" s="28">
        <v>8</v>
      </c>
      <c r="B43" s="29" t="s">
        <v>43</v>
      </c>
      <c r="C43" s="30">
        <v>1.388888888888889E-2</v>
      </c>
    </row>
    <row r="44" spans="1:3" x14ac:dyDescent="0.3">
      <c r="A44" s="28">
        <v>9</v>
      </c>
      <c r="B44" s="29" t="s">
        <v>44</v>
      </c>
      <c r="C44" s="30">
        <v>1.388888888888889E-2</v>
      </c>
    </row>
    <row r="45" spans="1:3" x14ac:dyDescent="0.3">
      <c r="A45" s="28">
        <v>10</v>
      </c>
      <c r="B45" s="29" t="s">
        <v>45</v>
      </c>
      <c r="C45" s="30">
        <v>6.9444444444444441E-3</v>
      </c>
    </row>
    <row r="46" spans="1:3" x14ac:dyDescent="0.3">
      <c r="A46" s="28">
        <v>11</v>
      </c>
      <c r="B46" s="29" t="s">
        <v>46</v>
      </c>
      <c r="C46" s="30">
        <v>6.9444444444444441E-3</v>
      </c>
    </row>
    <row r="47" spans="1:3" x14ac:dyDescent="0.3">
      <c r="A47" s="28">
        <v>12</v>
      </c>
      <c r="B47" s="29" t="s">
        <v>47</v>
      </c>
      <c r="C47" s="30">
        <v>1.7361111111111108E-2</v>
      </c>
    </row>
    <row r="48" spans="1:3" x14ac:dyDescent="0.3">
      <c r="A48" s="28">
        <v>13</v>
      </c>
      <c r="B48" s="29" t="s">
        <v>48</v>
      </c>
      <c r="C48" s="30">
        <v>1.7361111111111108E-2</v>
      </c>
    </row>
    <row r="49" spans="1:3" x14ac:dyDescent="0.3">
      <c r="A49" s="28">
        <v>14</v>
      </c>
      <c r="B49" s="29" t="s">
        <v>34</v>
      </c>
      <c r="C49" s="30">
        <v>1.041666666666667E-2</v>
      </c>
    </row>
    <row r="50" spans="1:3" x14ac:dyDescent="0.3">
      <c r="A50" s="28">
        <v>15</v>
      </c>
      <c r="B50" s="29" t="s">
        <v>35</v>
      </c>
      <c r="C50" s="30">
        <v>1.041666666666667E-2</v>
      </c>
    </row>
    <row r="51" spans="1:3" x14ac:dyDescent="0.3">
      <c r="A51" s="28">
        <v>16</v>
      </c>
      <c r="B51" s="29" t="s">
        <v>25</v>
      </c>
      <c r="C51" s="30">
        <v>1.041666666666667E-2</v>
      </c>
    </row>
    <row r="52" spans="1:3" x14ac:dyDescent="0.3">
      <c r="A52" s="28">
        <v>17</v>
      </c>
      <c r="B52" s="29" t="s">
        <v>14</v>
      </c>
      <c r="C52" s="30">
        <v>1.041666666666667E-2</v>
      </c>
    </row>
    <row r="53" spans="1:3" x14ac:dyDescent="0.3">
      <c r="A53" s="28">
        <v>18</v>
      </c>
      <c r="B53" s="29" t="s">
        <v>26</v>
      </c>
      <c r="C53" s="30">
        <v>6.25E-2</v>
      </c>
    </row>
    <row r="54" spans="1:3" x14ac:dyDescent="0.3">
      <c r="A54" s="28">
        <v>19</v>
      </c>
      <c r="B54" s="29" t="s">
        <v>27</v>
      </c>
      <c r="C54" s="30">
        <v>1.041666666666667E-2</v>
      </c>
    </row>
    <row r="55" spans="1:3" x14ac:dyDescent="0.3">
      <c r="A55" s="28">
        <v>20</v>
      </c>
      <c r="B55" s="29" t="s">
        <v>16</v>
      </c>
      <c r="C55" s="30">
        <v>1.041666666666667E-2</v>
      </c>
    </row>
    <row r="56" spans="1:3" x14ac:dyDescent="0.3">
      <c r="A56" s="28">
        <v>21</v>
      </c>
      <c r="B56" s="29" t="s">
        <v>28</v>
      </c>
      <c r="C56" s="30">
        <v>6.9444444444444441E-3</v>
      </c>
    </row>
    <row r="57" spans="1:3" x14ac:dyDescent="0.3">
      <c r="A57" s="28">
        <v>22</v>
      </c>
      <c r="B57" s="29" t="s">
        <v>17</v>
      </c>
      <c r="C57" s="30">
        <v>6.9444444444444441E-3</v>
      </c>
    </row>
    <row r="58" spans="1:3" x14ac:dyDescent="0.3">
      <c r="C58" s="40">
        <f>SUM(C36:C57)</f>
        <v>0.31597222222222221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4"/>
  <sheetViews>
    <sheetView topLeftCell="A26" workbookViewId="0">
      <selection activeCell="A32" sqref="A32:XFD32"/>
    </sheetView>
  </sheetViews>
  <sheetFormatPr defaultRowHeight="14.4" x14ac:dyDescent="0.3"/>
  <cols>
    <col min="1" max="1" width="6.6640625" bestFit="1" customWidth="1"/>
    <col min="2" max="2" width="65" bestFit="1"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20</v>
      </c>
      <c r="B1" s="2" t="s">
        <v>1</v>
      </c>
      <c r="C1" s="3" t="s">
        <v>2</v>
      </c>
      <c r="D1" s="4" t="s">
        <v>3</v>
      </c>
      <c r="E1" s="4" t="s">
        <v>4</v>
      </c>
      <c r="F1" s="5" t="s">
        <v>5</v>
      </c>
      <c r="G1" s="2" t="s">
        <v>6</v>
      </c>
    </row>
    <row r="2" spans="1:9" x14ac:dyDescent="0.3">
      <c r="A2" s="6">
        <f t="shared" ref="A2:A21" si="0">ROW() - ROW($A$1)</f>
        <v>1</v>
      </c>
      <c r="B2" s="7" t="s">
        <v>50</v>
      </c>
      <c r="C2" s="8">
        <v>0.41041666666666671</v>
      </c>
      <c r="D2" s="9">
        <v>0.42430555555555549</v>
      </c>
      <c r="E2" s="9">
        <v>1.388888888888889E-2</v>
      </c>
      <c r="F2" s="10">
        <f>D2-C2</f>
        <v>1.3888888888888784E-2</v>
      </c>
      <c r="G2" s="11"/>
      <c r="I2" s="44" t="s">
        <v>8</v>
      </c>
    </row>
    <row r="3" spans="1:9" x14ac:dyDescent="0.3">
      <c r="A3" s="6">
        <f t="shared" si="0"/>
        <v>2</v>
      </c>
      <c r="B3" s="13" t="s">
        <v>51</v>
      </c>
      <c r="C3" s="14">
        <v>0.42430555555555549</v>
      </c>
      <c r="D3" s="10">
        <v>0.43055555555555558</v>
      </c>
      <c r="E3" s="10">
        <v>1.7361111111111108E-2</v>
      </c>
      <c r="F3" s="10">
        <f>D3-C3</f>
        <v>6.2500000000000888E-3</v>
      </c>
      <c r="G3" s="11"/>
    </row>
    <row r="4" spans="1:9" x14ac:dyDescent="0.3">
      <c r="A4" s="6">
        <f t="shared" si="0"/>
        <v>3</v>
      </c>
      <c r="B4" s="15" t="s">
        <v>52</v>
      </c>
      <c r="C4" s="14">
        <v>0.43055555555555558</v>
      </c>
      <c r="D4" s="10">
        <v>0.4513888888888889</v>
      </c>
      <c r="E4" s="10">
        <v>6.9444444444444441E-3</v>
      </c>
      <c r="F4" s="10">
        <f>D4-C4</f>
        <v>2.0833333333333315E-2</v>
      </c>
      <c r="G4" s="11"/>
    </row>
    <row r="5" spans="1:9" x14ac:dyDescent="0.3">
      <c r="A5" s="6">
        <f t="shared" si="0"/>
        <v>4</v>
      </c>
      <c r="B5" s="13" t="s">
        <v>53</v>
      </c>
      <c r="C5" s="14">
        <v>0.45416666666666672</v>
      </c>
      <c r="D5" s="10">
        <v>0.46111111111111108</v>
      </c>
      <c r="E5" s="10">
        <v>4.1666666666666657E-2</v>
      </c>
      <c r="F5" s="10">
        <f>D5-C5</f>
        <v>6.9444444444443643E-3</v>
      </c>
      <c r="G5" s="11"/>
    </row>
    <row r="6" spans="1:9" x14ac:dyDescent="0.3">
      <c r="A6" s="6">
        <f t="shared" si="0"/>
        <v>5</v>
      </c>
      <c r="B6" s="45" t="s">
        <v>54</v>
      </c>
      <c r="C6" s="14">
        <v>0.46875</v>
      </c>
      <c r="D6" s="10"/>
      <c r="E6" s="10"/>
      <c r="F6" s="10">
        <v>1.7361111111111108E-2</v>
      </c>
      <c r="G6" s="11"/>
    </row>
    <row r="7" spans="1:9" x14ac:dyDescent="0.3">
      <c r="A7" s="6">
        <f t="shared" si="0"/>
        <v>6</v>
      </c>
      <c r="B7" s="13" t="s">
        <v>55</v>
      </c>
      <c r="C7" s="14"/>
      <c r="D7" s="10"/>
      <c r="E7" s="10"/>
      <c r="F7" s="10">
        <v>6.25E-2</v>
      </c>
      <c r="G7" s="11"/>
    </row>
    <row r="8" spans="1:9" x14ac:dyDescent="0.3">
      <c r="A8" s="6">
        <f t="shared" si="0"/>
        <v>7</v>
      </c>
      <c r="B8" s="13" t="s">
        <v>45</v>
      </c>
      <c r="C8" s="14"/>
      <c r="D8" s="10"/>
      <c r="E8" s="10"/>
      <c r="F8" s="14">
        <v>6.9444444444444441E-3</v>
      </c>
      <c r="G8" s="11"/>
    </row>
    <row r="9" spans="1:9" x14ac:dyDescent="0.3">
      <c r="A9" s="6">
        <f t="shared" si="0"/>
        <v>8</v>
      </c>
      <c r="B9" s="13" t="s">
        <v>44</v>
      </c>
      <c r="C9" s="14"/>
      <c r="D9" s="10"/>
      <c r="E9" s="10"/>
      <c r="F9" s="10">
        <v>1.388888888888889E-2</v>
      </c>
      <c r="G9" s="11"/>
    </row>
    <row r="10" spans="1:9" x14ac:dyDescent="0.3">
      <c r="A10" s="6">
        <f t="shared" si="0"/>
        <v>9</v>
      </c>
      <c r="B10" s="13"/>
      <c r="C10" s="14"/>
      <c r="D10" s="10"/>
      <c r="E10" s="10"/>
      <c r="F10" s="10">
        <f>D10-C10</f>
        <v>0</v>
      </c>
      <c r="G10" s="11"/>
    </row>
    <row r="11" spans="1:9" x14ac:dyDescent="0.3">
      <c r="A11" s="6">
        <f t="shared" si="0"/>
        <v>10</v>
      </c>
      <c r="B11" s="13"/>
      <c r="C11" s="14"/>
      <c r="D11" s="17"/>
      <c r="E11" s="17"/>
      <c r="F11" s="10">
        <f>D11-C11</f>
        <v>0</v>
      </c>
      <c r="G11" s="11"/>
    </row>
    <row r="12" spans="1:9" x14ac:dyDescent="0.3">
      <c r="A12" s="6">
        <f t="shared" si="0"/>
        <v>11</v>
      </c>
      <c r="B12" s="13" t="s">
        <v>56</v>
      </c>
      <c r="C12" s="14"/>
      <c r="D12" s="17"/>
      <c r="E12" s="17"/>
      <c r="F12" s="10">
        <v>2.4305555555555559E-2</v>
      </c>
      <c r="G12" s="11"/>
    </row>
    <row r="13" spans="1:9" x14ac:dyDescent="0.3">
      <c r="A13" s="6">
        <f t="shared" si="0"/>
        <v>12</v>
      </c>
      <c r="B13" s="13" t="s">
        <v>57</v>
      </c>
      <c r="C13" s="14"/>
      <c r="D13" s="17"/>
      <c r="E13" s="17"/>
      <c r="F13" s="10">
        <v>1.388888888888889E-2</v>
      </c>
      <c r="G13" s="11"/>
    </row>
    <row r="14" spans="1:9" x14ac:dyDescent="0.3">
      <c r="A14" s="6">
        <f t="shared" si="0"/>
        <v>13</v>
      </c>
      <c r="B14" s="13" t="s">
        <v>58</v>
      </c>
      <c r="C14" s="14"/>
      <c r="D14" s="17"/>
      <c r="E14" s="17"/>
      <c r="F14" s="10">
        <v>1.388888888888889E-2</v>
      </c>
      <c r="G14" s="11"/>
    </row>
    <row r="15" spans="1:9" x14ac:dyDescent="0.3">
      <c r="A15" s="6">
        <f t="shared" si="0"/>
        <v>14</v>
      </c>
      <c r="B15" s="16" t="s">
        <v>25</v>
      </c>
      <c r="C15" s="14"/>
      <c r="D15" s="17"/>
      <c r="E15" s="17"/>
      <c r="F15" s="10">
        <v>1.041666666666667E-2</v>
      </c>
      <c r="G15" s="11"/>
    </row>
    <row r="16" spans="1:9" x14ac:dyDescent="0.3">
      <c r="A16" s="6">
        <f t="shared" si="0"/>
        <v>15</v>
      </c>
      <c r="B16" s="16" t="s">
        <v>14</v>
      </c>
      <c r="C16" s="14"/>
      <c r="D16" s="17"/>
      <c r="E16" s="17"/>
      <c r="F16" s="10">
        <v>1.041666666666667E-2</v>
      </c>
      <c r="G16" s="11"/>
    </row>
    <row r="17" spans="1:7" x14ac:dyDescent="0.3">
      <c r="A17" s="6">
        <f t="shared" si="0"/>
        <v>16</v>
      </c>
      <c r="B17" s="16" t="s">
        <v>26</v>
      </c>
      <c r="C17" s="14"/>
      <c r="D17" s="17"/>
      <c r="E17" s="17"/>
      <c r="F17" s="10">
        <v>6.25E-2</v>
      </c>
      <c r="G17" s="11"/>
    </row>
    <row r="18" spans="1:7" x14ac:dyDescent="0.3">
      <c r="A18" s="6">
        <f t="shared" si="0"/>
        <v>17</v>
      </c>
      <c r="B18" s="16" t="s">
        <v>27</v>
      </c>
      <c r="C18" s="14"/>
      <c r="D18" s="17"/>
      <c r="E18" s="17"/>
      <c r="F18" s="10">
        <v>1.041666666666667E-2</v>
      </c>
      <c r="G18" s="11"/>
    </row>
    <row r="19" spans="1:7" x14ac:dyDescent="0.3">
      <c r="A19" s="6">
        <f t="shared" si="0"/>
        <v>18</v>
      </c>
      <c r="B19" s="16" t="s">
        <v>16</v>
      </c>
      <c r="C19" s="14"/>
      <c r="D19" s="17"/>
      <c r="E19" s="17"/>
      <c r="F19" s="10">
        <v>1.041666666666667E-2</v>
      </c>
      <c r="G19" s="11"/>
    </row>
    <row r="20" spans="1:7" x14ac:dyDescent="0.3">
      <c r="A20" s="6">
        <f t="shared" si="0"/>
        <v>19</v>
      </c>
      <c r="B20" s="16" t="s">
        <v>28</v>
      </c>
      <c r="C20" s="14"/>
      <c r="D20" s="17"/>
      <c r="E20" s="17"/>
      <c r="F20" s="10">
        <v>6.9444444444444441E-3</v>
      </c>
      <c r="G20" s="11"/>
    </row>
    <row r="21" spans="1:7" ht="15.75" customHeight="1" thickBot="1" x14ac:dyDescent="0.35">
      <c r="A21" s="6">
        <f t="shared" si="0"/>
        <v>20</v>
      </c>
      <c r="B21" s="16" t="s">
        <v>17</v>
      </c>
      <c r="C21" s="18"/>
      <c r="D21" s="19"/>
      <c r="E21" s="17"/>
      <c r="F21" s="10">
        <v>6.9444444444444441E-3</v>
      </c>
      <c r="G21" s="11"/>
    </row>
    <row r="22" spans="1:7" ht="15.75" customHeight="1" thickBot="1" x14ac:dyDescent="0.35">
      <c r="A22" s="20"/>
      <c r="B22" s="41" t="s">
        <v>18</v>
      </c>
      <c r="C22" s="42"/>
      <c r="D22" s="42"/>
      <c r="E22" s="43"/>
      <c r="F22" s="24">
        <f>SUM(F2:F21)</f>
        <v>0.31874999999999987</v>
      </c>
      <c r="G22" s="25"/>
    </row>
    <row r="25" spans="1:7" ht="15.75" customHeight="1" thickBot="1" x14ac:dyDescent="0.35"/>
    <row r="26" spans="1:7" ht="15.75" customHeight="1" thickBot="1" x14ac:dyDescent="0.35">
      <c r="A26" s="26" t="s">
        <v>0</v>
      </c>
      <c r="B26" s="27" t="s">
        <v>1</v>
      </c>
      <c r="C26" s="26" t="s">
        <v>19</v>
      </c>
    </row>
    <row r="27" spans="1:7" x14ac:dyDescent="0.3">
      <c r="A27" s="28">
        <v>1</v>
      </c>
      <c r="B27" s="29" t="s">
        <v>50</v>
      </c>
      <c r="C27" s="30">
        <v>1.388888888888889E-2</v>
      </c>
    </row>
    <row r="28" spans="1:7" x14ac:dyDescent="0.3">
      <c r="A28" s="28">
        <v>2</v>
      </c>
      <c r="B28" s="29" t="s">
        <v>51</v>
      </c>
      <c r="C28" s="30">
        <v>6.2500000000000003E-3</v>
      </c>
    </row>
    <row r="29" spans="1:7" x14ac:dyDescent="0.3">
      <c r="A29" s="28">
        <v>3</v>
      </c>
      <c r="B29" s="29" t="s">
        <v>52</v>
      </c>
      <c r="C29" s="30">
        <v>2.0833333333333329E-2</v>
      </c>
    </row>
    <row r="30" spans="1:7" x14ac:dyDescent="0.3">
      <c r="A30" s="28">
        <v>4</v>
      </c>
      <c r="B30" s="29" t="s">
        <v>53</v>
      </c>
      <c r="C30" s="30">
        <v>6.9444444444444441E-3</v>
      </c>
    </row>
    <row r="31" spans="1:7" x14ac:dyDescent="0.3">
      <c r="A31" s="28">
        <v>5</v>
      </c>
      <c r="B31" s="29" t="s">
        <v>54</v>
      </c>
      <c r="C31" s="30">
        <v>1.7361111111111108E-2</v>
      </c>
    </row>
    <row r="32" spans="1:7" x14ac:dyDescent="0.3">
      <c r="A32" s="28">
        <v>6</v>
      </c>
      <c r="B32" s="29" t="s">
        <v>55</v>
      </c>
      <c r="C32" s="30">
        <v>6.25E-2</v>
      </c>
    </row>
    <row r="33" spans="1:3" x14ac:dyDescent="0.3">
      <c r="A33" s="28">
        <v>7</v>
      </c>
      <c r="B33" s="29" t="s">
        <v>45</v>
      </c>
      <c r="C33" s="30">
        <v>6.9444444444444441E-3</v>
      </c>
    </row>
    <row r="34" spans="1:3" x14ac:dyDescent="0.3">
      <c r="A34" s="28">
        <v>8</v>
      </c>
      <c r="B34" s="29" t="s">
        <v>44</v>
      </c>
      <c r="C34" s="30">
        <v>1.388888888888889E-2</v>
      </c>
    </row>
    <row r="35" spans="1:3" x14ac:dyDescent="0.3">
      <c r="A35" s="28">
        <v>9</v>
      </c>
      <c r="B35" s="29" t="s">
        <v>56</v>
      </c>
      <c r="C35" s="30">
        <v>2.4305555555555559E-2</v>
      </c>
    </row>
    <row r="36" spans="1:3" x14ac:dyDescent="0.3">
      <c r="A36" s="28">
        <v>10</v>
      </c>
      <c r="B36" s="29" t="s">
        <v>57</v>
      </c>
      <c r="C36" s="30">
        <v>1.388888888888889E-2</v>
      </c>
    </row>
    <row r="37" spans="1:3" x14ac:dyDescent="0.3">
      <c r="A37" s="28">
        <v>11</v>
      </c>
      <c r="B37" s="29" t="s">
        <v>58</v>
      </c>
      <c r="C37" s="30">
        <v>1.388888888888889E-2</v>
      </c>
    </row>
    <row r="38" spans="1:3" x14ac:dyDescent="0.3">
      <c r="A38" s="28">
        <v>12</v>
      </c>
      <c r="B38" s="29" t="s">
        <v>25</v>
      </c>
      <c r="C38" s="30">
        <v>1.041666666666667E-2</v>
      </c>
    </row>
    <row r="39" spans="1:3" x14ac:dyDescent="0.3">
      <c r="A39" s="28">
        <v>13</v>
      </c>
      <c r="B39" s="29" t="s">
        <v>14</v>
      </c>
      <c r="C39" s="30">
        <v>1.041666666666667E-2</v>
      </c>
    </row>
    <row r="40" spans="1:3" x14ac:dyDescent="0.3">
      <c r="A40" s="28">
        <v>14</v>
      </c>
      <c r="B40" s="29" t="s">
        <v>26</v>
      </c>
      <c r="C40" s="30">
        <v>6.25E-2</v>
      </c>
    </row>
    <row r="41" spans="1:3" x14ac:dyDescent="0.3">
      <c r="A41" s="28">
        <v>15</v>
      </c>
      <c r="B41" s="29" t="s">
        <v>27</v>
      </c>
      <c r="C41" s="30">
        <v>1.041666666666667E-2</v>
      </c>
    </row>
    <row r="42" spans="1:3" x14ac:dyDescent="0.3">
      <c r="A42" s="28">
        <v>16</v>
      </c>
      <c r="B42" s="29" t="s">
        <v>16</v>
      </c>
      <c r="C42" s="30">
        <v>1.041666666666667E-2</v>
      </c>
    </row>
    <row r="43" spans="1:3" x14ac:dyDescent="0.3">
      <c r="A43" s="28">
        <v>17</v>
      </c>
      <c r="B43" s="29" t="s">
        <v>28</v>
      </c>
      <c r="C43" s="30">
        <v>6.9444444444444441E-3</v>
      </c>
    </row>
    <row r="44" spans="1:3" x14ac:dyDescent="0.3">
      <c r="A44" s="28">
        <v>18</v>
      </c>
      <c r="B44" s="29" t="s">
        <v>17</v>
      </c>
      <c r="C44" s="30">
        <v>6.9444444444444441E-3</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3"/>
  <sheetViews>
    <sheetView topLeftCell="A26" workbookViewId="0">
      <selection activeCell="E45" sqref="E45"/>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v>0.42708333333333331</v>
      </c>
      <c r="D2" s="9"/>
      <c r="E2" s="9">
        <v>1.388888888888889E-2</v>
      </c>
      <c r="F2" s="10">
        <v>1.388888888888889E-2</v>
      </c>
      <c r="G2" s="11"/>
      <c r="I2" s="12" t="s">
        <v>8</v>
      </c>
    </row>
    <row r="3" spans="1:9" x14ac:dyDescent="0.3">
      <c r="A3" s="6">
        <f t="shared" si="0"/>
        <v>2</v>
      </c>
      <c r="B3" s="13" t="s">
        <v>9</v>
      </c>
      <c r="C3" s="14"/>
      <c r="D3" s="10"/>
      <c r="E3" s="10">
        <v>1.7361111111111108E-2</v>
      </c>
      <c r="F3" s="10">
        <v>6.9444444444444441E-3</v>
      </c>
      <c r="G3" s="11"/>
    </row>
    <row r="4" spans="1:9" x14ac:dyDescent="0.3">
      <c r="A4" s="6">
        <f t="shared" si="0"/>
        <v>3</v>
      </c>
      <c r="B4" s="15" t="s">
        <v>10</v>
      </c>
      <c r="C4" s="14"/>
      <c r="D4" s="10"/>
      <c r="E4" s="10">
        <v>6.9444444444444441E-3</v>
      </c>
      <c r="F4" s="10">
        <v>1.7361111111111108E-2</v>
      </c>
      <c r="G4" s="11"/>
    </row>
    <row r="5" spans="1:9" x14ac:dyDescent="0.3">
      <c r="A5" s="6">
        <f t="shared" si="0"/>
        <v>4</v>
      </c>
      <c r="B5" s="13" t="s">
        <v>11</v>
      </c>
      <c r="C5" s="14"/>
      <c r="D5" s="10"/>
      <c r="E5" s="10">
        <v>4.1666666666666657E-2</v>
      </c>
      <c r="F5" s="10">
        <v>1.7361111111111108E-2</v>
      </c>
      <c r="G5" s="11"/>
    </row>
    <row r="6" spans="1:9" x14ac:dyDescent="0.3">
      <c r="A6" s="6">
        <f t="shared" si="0"/>
        <v>5</v>
      </c>
      <c r="B6" s="16" t="s">
        <v>12</v>
      </c>
      <c r="C6" s="14"/>
      <c r="D6" s="10"/>
      <c r="E6" s="10"/>
      <c r="F6" s="10">
        <v>6.9444444444444441E-3</v>
      </c>
      <c r="G6" s="11"/>
    </row>
    <row r="7" spans="1:9" x14ac:dyDescent="0.3">
      <c r="A7" s="6">
        <f t="shared" si="0"/>
        <v>6</v>
      </c>
      <c r="B7" s="13" t="s">
        <v>59</v>
      </c>
      <c r="C7" s="14"/>
      <c r="D7" s="10"/>
      <c r="E7" s="10"/>
      <c r="F7" s="10">
        <v>6.9444444444444441E-3</v>
      </c>
      <c r="G7" s="11"/>
    </row>
    <row r="8" spans="1:9" ht="28.8" customHeight="1" x14ac:dyDescent="0.3">
      <c r="A8" s="6">
        <f t="shared" si="0"/>
        <v>7</v>
      </c>
      <c r="B8" s="16" t="s">
        <v>60</v>
      </c>
      <c r="C8" s="14"/>
      <c r="D8" s="10"/>
      <c r="E8" s="10"/>
      <c r="F8" s="14">
        <v>1.041666666666667E-2</v>
      </c>
      <c r="G8" s="11"/>
    </row>
    <row r="9" spans="1:9" x14ac:dyDescent="0.3">
      <c r="A9" s="6">
        <f t="shared" si="0"/>
        <v>8</v>
      </c>
      <c r="B9" s="13" t="s">
        <v>61</v>
      </c>
      <c r="C9" s="14"/>
      <c r="D9" s="10"/>
      <c r="E9" s="10"/>
      <c r="F9" s="10">
        <v>1.7361111111111108E-2</v>
      </c>
      <c r="G9" s="11"/>
    </row>
    <row r="10" spans="1:9" ht="28.8" customHeight="1" x14ac:dyDescent="0.3">
      <c r="A10" s="6">
        <f t="shared" si="0"/>
        <v>9</v>
      </c>
      <c r="B10" s="16" t="s">
        <v>62</v>
      </c>
      <c r="C10" s="14"/>
      <c r="D10" s="10"/>
      <c r="E10" s="10"/>
      <c r="F10" s="10">
        <v>1.7361111111111108E-2</v>
      </c>
      <c r="G10" s="11"/>
    </row>
    <row r="11" spans="1:9" x14ac:dyDescent="0.3">
      <c r="A11" s="6">
        <f t="shared" si="0"/>
        <v>10</v>
      </c>
      <c r="B11" s="16" t="s">
        <v>30</v>
      </c>
      <c r="C11" s="14"/>
      <c r="D11" s="17"/>
      <c r="E11" s="17"/>
      <c r="F11" s="10">
        <v>8.3333333333333329E-2</v>
      </c>
      <c r="G11" s="11"/>
    </row>
    <row r="12" spans="1:9" x14ac:dyDescent="0.3">
      <c r="A12" s="6">
        <f t="shared" si="0"/>
        <v>11</v>
      </c>
      <c r="B12" s="16"/>
      <c r="C12" s="14"/>
      <c r="D12" s="17"/>
      <c r="E12" s="17"/>
      <c r="F12" s="10">
        <f>D12-C12</f>
        <v>0</v>
      </c>
      <c r="G12" s="11"/>
    </row>
    <row r="13" spans="1:9" x14ac:dyDescent="0.3">
      <c r="A13" s="6">
        <f t="shared" si="0"/>
        <v>12</v>
      </c>
      <c r="B13" s="16"/>
      <c r="C13" s="14"/>
      <c r="D13" s="17"/>
      <c r="E13" s="17"/>
      <c r="F13" s="10">
        <f>D13-C13</f>
        <v>0</v>
      </c>
      <c r="G13" s="11"/>
    </row>
    <row r="14" spans="1:9" x14ac:dyDescent="0.3">
      <c r="A14" s="6">
        <f t="shared" si="0"/>
        <v>13</v>
      </c>
      <c r="B14" s="16"/>
      <c r="C14" s="14"/>
      <c r="D14" s="17"/>
      <c r="E14" s="17"/>
      <c r="F14" s="10">
        <f>D14-C14</f>
        <v>0</v>
      </c>
      <c r="G14" s="11"/>
    </row>
    <row r="15" spans="1:9" x14ac:dyDescent="0.3">
      <c r="A15" s="6">
        <f t="shared" si="0"/>
        <v>14</v>
      </c>
      <c r="B15" s="16"/>
      <c r="C15" s="14"/>
      <c r="D15" s="17"/>
      <c r="E15" s="17"/>
      <c r="F15" s="10">
        <f>D15-C15</f>
        <v>0</v>
      </c>
      <c r="G15" s="11"/>
    </row>
    <row r="16" spans="1:9" x14ac:dyDescent="0.3">
      <c r="A16" s="6">
        <f t="shared" si="0"/>
        <v>15</v>
      </c>
      <c r="B16" s="16" t="s">
        <v>63</v>
      </c>
      <c r="C16" s="14"/>
      <c r="D16" s="17"/>
      <c r="E16" s="17"/>
      <c r="F16" s="10">
        <v>2.0833333333333329E-2</v>
      </c>
      <c r="G16" s="11"/>
    </row>
    <row r="17" spans="1:7" x14ac:dyDescent="0.3">
      <c r="A17" s="6">
        <f t="shared" si="0"/>
        <v>16</v>
      </c>
      <c r="B17" s="16" t="s">
        <v>58</v>
      </c>
      <c r="C17" s="14"/>
      <c r="D17" s="17"/>
      <c r="E17" s="17"/>
      <c r="F17" s="10">
        <v>4.1666666666666657E-2</v>
      </c>
      <c r="G17" s="11"/>
    </row>
    <row r="18" spans="1:7" x14ac:dyDescent="0.3">
      <c r="A18" s="6">
        <f t="shared" si="0"/>
        <v>17</v>
      </c>
      <c r="B18" s="16" t="s">
        <v>14</v>
      </c>
      <c r="C18" s="14"/>
      <c r="D18" s="17"/>
      <c r="E18" s="17"/>
      <c r="F18" s="10">
        <v>1.041666666666667E-2</v>
      </c>
      <c r="G18" s="11"/>
    </row>
    <row r="19" spans="1:7" x14ac:dyDescent="0.3">
      <c r="A19" s="6">
        <f t="shared" si="0"/>
        <v>18</v>
      </c>
      <c r="B19" s="16" t="s">
        <v>15</v>
      </c>
      <c r="C19" s="14"/>
      <c r="D19" s="17"/>
      <c r="E19" s="17"/>
      <c r="F19" s="10">
        <v>4.1666666666666657E-2</v>
      </c>
      <c r="G19" s="11"/>
    </row>
    <row r="20" spans="1:7" x14ac:dyDescent="0.3">
      <c r="A20" s="6">
        <f t="shared" si="0"/>
        <v>19</v>
      </c>
      <c r="B20" s="16" t="s">
        <v>16</v>
      </c>
      <c r="C20" s="14"/>
      <c r="D20" s="17"/>
      <c r="E20" s="17"/>
      <c r="F20" s="10">
        <v>1.041666666666667E-2</v>
      </c>
      <c r="G20" s="11"/>
    </row>
    <row r="21" spans="1:7" ht="15.75" customHeight="1" thickBot="1" x14ac:dyDescent="0.35">
      <c r="A21" s="6">
        <f t="shared" si="0"/>
        <v>20</v>
      </c>
      <c r="B21" s="16" t="s">
        <v>17</v>
      </c>
      <c r="C21" s="18"/>
      <c r="D21" s="19"/>
      <c r="E21" s="17"/>
      <c r="F21" s="10">
        <v>1.041666666666667E-2</v>
      </c>
      <c r="G21" s="11"/>
    </row>
    <row r="22" spans="1:7" ht="15.75" customHeight="1" thickBot="1" x14ac:dyDescent="0.35">
      <c r="A22" s="20"/>
      <c r="B22" s="21" t="s">
        <v>18</v>
      </c>
      <c r="C22" s="22"/>
      <c r="D22" s="22"/>
      <c r="E22" s="23"/>
      <c r="F22" s="24">
        <f>SUM(F2:F21)</f>
        <v>0.33333333333333337</v>
      </c>
      <c r="G22" s="25"/>
    </row>
    <row r="25" spans="1:7" ht="15.75" customHeight="1" thickBot="1" x14ac:dyDescent="0.35"/>
    <row r="26" spans="1:7" ht="15.75" customHeight="1" thickBot="1" x14ac:dyDescent="0.35">
      <c r="A26" s="26" t="s">
        <v>0</v>
      </c>
      <c r="B26" s="27" t="s">
        <v>1</v>
      </c>
      <c r="C26" s="26" t="s">
        <v>19</v>
      </c>
    </row>
    <row r="27" spans="1:7" x14ac:dyDescent="0.3">
      <c r="A27" s="28">
        <v>1</v>
      </c>
      <c r="B27" s="29" t="s">
        <v>7</v>
      </c>
      <c r="C27" s="30">
        <v>1.388888888888889E-2</v>
      </c>
    </row>
    <row r="28" spans="1:7" x14ac:dyDescent="0.3">
      <c r="A28" s="28">
        <v>2</v>
      </c>
      <c r="B28" s="29" t="s">
        <v>9</v>
      </c>
      <c r="C28" s="30">
        <v>6.9444444444444441E-3</v>
      </c>
    </row>
    <row r="29" spans="1:7" x14ac:dyDescent="0.3">
      <c r="A29" s="28">
        <v>3</v>
      </c>
      <c r="B29" s="29" t="s">
        <v>10</v>
      </c>
      <c r="C29" s="30">
        <v>1.7361111111111108E-2</v>
      </c>
    </row>
    <row r="30" spans="1:7" x14ac:dyDescent="0.3">
      <c r="A30" s="28">
        <v>4</v>
      </c>
      <c r="B30" s="29" t="s">
        <v>11</v>
      </c>
      <c r="C30" s="30">
        <v>1.7361111111111108E-2</v>
      </c>
    </row>
    <row r="31" spans="1:7" x14ac:dyDescent="0.3">
      <c r="A31" s="28">
        <v>5</v>
      </c>
      <c r="B31" s="29" t="s">
        <v>12</v>
      </c>
      <c r="C31" s="30">
        <v>6.9444444444444441E-3</v>
      </c>
    </row>
    <row r="32" spans="1:7" x14ac:dyDescent="0.3">
      <c r="A32" s="28">
        <v>6</v>
      </c>
      <c r="B32" s="29" t="s">
        <v>59</v>
      </c>
      <c r="C32" s="30">
        <v>6.9444444444444441E-3</v>
      </c>
    </row>
    <row r="33" spans="1:3" x14ac:dyDescent="0.3">
      <c r="A33" s="28">
        <v>7</v>
      </c>
      <c r="B33" s="29" t="s">
        <v>60</v>
      </c>
      <c r="C33" s="30">
        <v>1.041666666666667E-2</v>
      </c>
    </row>
    <row r="34" spans="1:3" x14ac:dyDescent="0.3">
      <c r="A34" s="28">
        <v>8</v>
      </c>
      <c r="B34" s="29" t="s">
        <v>61</v>
      </c>
      <c r="C34" s="30">
        <v>1.7361111111111108E-2</v>
      </c>
    </row>
    <row r="35" spans="1:3" x14ac:dyDescent="0.3">
      <c r="A35" s="28">
        <v>9</v>
      </c>
      <c r="B35" s="29" t="s">
        <v>62</v>
      </c>
      <c r="C35" s="30">
        <v>1.7361111111111108E-2</v>
      </c>
    </row>
    <row r="36" spans="1:3" x14ac:dyDescent="0.3">
      <c r="A36" s="28">
        <v>10</v>
      </c>
      <c r="B36" s="29" t="s">
        <v>30</v>
      </c>
      <c r="C36" s="30">
        <v>8.3333333333333329E-2</v>
      </c>
    </row>
    <row r="37" spans="1:3" x14ac:dyDescent="0.3">
      <c r="A37" s="28">
        <v>11</v>
      </c>
      <c r="B37" s="29" t="s">
        <v>63</v>
      </c>
      <c r="C37" s="30">
        <v>2.0833333333333329E-2</v>
      </c>
    </row>
    <row r="38" spans="1:3" x14ac:dyDescent="0.3">
      <c r="A38" s="28">
        <v>12</v>
      </c>
      <c r="B38" s="29" t="s">
        <v>58</v>
      </c>
      <c r="C38" s="30">
        <v>3.125E-2</v>
      </c>
    </row>
    <row r="39" spans="1:3" x14ac:dyDescent="0.3">
      <c r="A39" s="28">
        <v>13</v>
      </c>
      <c r="B39" s="29" t="s">
        <v>14</v>
      </c>
      <c r="C39" s="30">
        <v>6.9444444444444441E-3</v>
      </c>
    </row>
    <row r="40" spans="1:3" x14ac:dyDescent="0.3">
      <c r="A40" s="28">
        <v>14</v>
      </c>
      <c r="B40" s="29" t="s">
        <v>15</v>
      </c>
      <c r="C40" s="30">
        <v>4.1666666666666657E-2</v>
      </c>
    </row>
    <row r="41" spans="1:3" x14ac:dyDescent="0.3">
      <c r="A41" s="28">
        <v>15</v>
      </c>
      <c r="B41" s="29" t="s">
        <v>16</v>
      </c>
      <c r="C41" s="30">
        <v>6.9444444444444441E-3</v>
      </c>
    </row>
    <row r="42" spans="1:3" x14ac:dyDescent="0.3">
      <c r="A42" s="28">
        <v>16</v>
      </c>
      <c r="B42" s="29" t="s">
        <v>17</v>
      </c>
      <c r="C42" s="30">
        <v>6.9444444444444441E-3</v>
      </c>
    </row>
    <row r="43" spans="1:3" x14ac:dyDescent="0.3">
      <c r="C43" s="4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4"/>
  <sheetViews>
    <sheetView topLeftCell="A26" workbookViewId="0">
      <selection activeCell="B42" sqref="B42:C43"/>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v>0.38541666666666669</v>
      </c>
      <c r="D2" s="9">
        <v>0.39930555555555558</v>
      </c>
      <c r="E2" s="9">
        <v>1.388888888888889E-2</v>
      </c>
      <c r="F2" s="10">
        <f t="shared" ref="F2:F9" si="1">D2-C2</f>
        <v>1.3888888888888895E-2</v>
      </c>
      <c r="G2" s="11"/>
      <c r="I2" s="12" t="s">
        <v>8</v>
      </c>
    </row>
    <row r="3" spans="1:9" x14ac:dyDescent="0.3">
      <c r="A3" s="6">
        <f t="shared" si="0"/>
        <v>2</v>
      </c>
      <c r="B3" s="13" t="s">
        <v>9</v>
      </c>
      <c r="C3" s="14">
        <v>0.39930555555555558</v>
      </c>
      <c r="D3" s="10">
        <v>0.40625</v>
      </c>
      <c r="E3" s="10">
        <v>1.7361111111111108E-2</v>
      </c>
      <c r="F3" s="10">
        <f t="shared" si="1"/>
        <v>6.9444444444444198E-3</v>
      </c>
      <c r="G3" s="11"/>
    </row>
    <row r="4" spans="1:9" x14ac:dyDescent="0.3">
      <c r="A4" s="6">
        <f t="shared" si="0"/>
        <v>3</v>
      </c>
      <c r="B4" s="15" t="s">
        <v>10</v>
      </c>
      <c r="C4" s="14">
        <v>0.40625</v>
      </c>
      <c r="D4" s="10">
        <v>0.41666666666666669</v>
      </c>
      <c r="E4" s="10">
        <v>6.9444444444444441E-3</v>
      </c>
      <c r="F4" s="10">
        <f t="shared" si="1"/>
        <v>1.0416666666666685E-2</v>
      </c>
      <c r="G4" s="11"/>
    </row>
    <row r="5" spans="1:9" x14ac:dyDescent="0.3">
      <c r="A5" s="6">
        <f t="shared" si="0"/>
        <v>4</v>
      </c>
      <c r="B5" s="13" t="s">
        <v>64</v>
      </c>
      <c r="C5" s="14">
        <v>0.41666666666666669</v>
      </c>
      <c r="D5" s="10">
        <v>0.43055555555555558</v>
      </c>
      <c r="E5" s="10">
        <v>4.1666666666666657E-2</v>
      </c>
      <c r="F5" s="10">
        <f t="shared" si="1"/>
        <v>1.3888888888888895E-2</v>
      </c>
      <c r="G5" s="11"/>
    </row>
    <row r="6" spans="1:9" x14ac:dyDescent="0.3">
      <c r="A6" s="6">
        <f t="shared" si="0"/>
        <v>5</v>
      </c>
      <c r="B6" s="16" t="s">
        <v>30</v>
      </c>
      <c r="C6" s="14">
        <v>0.43055555555555558</v>
      </c>
      <c r="D6" s="10">
        <v>0.5</v>
      </c>
      <c r="E6" s="10"/>
      <c r="F6" s="10">
        <f t="shared" si="1"/>
        <v>6.944444444444442E-2</v>
      </c>
      <c r="G6" s="11"/>
    </row>
    <row r="7" spans="1:9" x14ac:dyDescent="0.3">
      <c r="A7" s="6">
        <f t="shared" si="0"/>
        <v>6</v>
      </c>
      <c r="B7" s="13" t="s">
        <v>65</v>
      </c>
      <c r="C7" s="14">
        <v>0.50694444444444442</v>
      </c>
      <c r="D7" s="10">
        <v>0.54166666666666663</v>
      </c>
      <c r="E7" s="10"/>
      <c r="F7" s="10">
        <f t="shared" si="1"/>
        <v>3.472222222222221E-2</v>
      </c>
      <c r="G7" s="11"/>
    </row>
    <row r="8" spans="1:9" x14ac:dyDescent="0.3">
      <c r="A8" s="6">
        <f t="shared" si="0"/>
        <v>7</v>
      </c>
      <c r="B8" s="16" t="s">
        <v>24</v>
      </c>
      <c r="C8" s="14">
        <v>0.55555555555555558</v>
      </c>
      <c r="D8" s="10">
        <v>0.59722222222222221</v>
      </c>
      <c r="E8" s="10"/>
      <c r="F8" s="14">
        <f t="shared" si="1"/>
        <v>4.166666666666663E-2</v>
      </c>
      <c r="G8" s="11"/>
    </row>
    <row r="9" spans="1:9" x14ac:dyDescent="0.3">
      <c r="A9" s="6">
        <f t="shared" si="0"/>
        <v>8</v>
      </c>
      <c r="B9" s="13" t="s">
        <v>66</v>
      </c>
      <c r="C9" s="14">
        <v>0.60416666666666663</v>
      </c>
      <c r="D9" s="10">
        <v>0.625</v>
      </c>
      <c r="E9" s="10"/>
      <c r="F9" s="10">
        <f t="shared" si="1"/>
        <v>2.083333333333337E-2</v>
      </c>
      <c r="G9" s="11"/>
    </row>
    <row r="10" spans="1:9" x14ac:dyDescent="0.3">
      <c r="A10" s="6">
        <f t="shared" si="0"/>
        <v>9</v>
      </c>
      <c r="B10" s="16" t="s">
        <v>67</v>
      </c>
      <c r="C10" s="14"/>
      <c r="D10" s="10"/>
      <c r="E10" s="10"/>
      <c r="F10" s="10">
        <v>1.388888888888889E-2</v>
      </c>
      <c r="G10" s="11"/>
    </row>
    <row r="11" spans="1:9" x14ac:dyDescent="0.3">
      <c r="A11" s="6">
        <f t="shared" si="0"/>
        <v>10</v>
      </c>
      <c r="B11" s="16" t="s">
        <v>68</v>
      </c>
      <c r="C11" s="14"/>
      <c r="D11" s="17"/>
      <c r="E11" s="17"/>
      <c r="F11" s="10">
        <v>1.041666666666667E-2</v>
      </c>
      <c r="G11" s="11"/>
    </row>
    <row r="12" spans="1:9" x14ac:dyDescent="0.3">
      <c r="A12" s="6">
        <f t="shared" si="0"/>
        <v>11</v>
      </c>
      <c r="B12" s="16"/>
      <c r="C12" s="14"/>
      <c r="D12" s="17"/>
      <c r="E12" s="17"/>
      <c r="F12" s="10">
        <f>D12-C12</f>
        <v>0</v>
      </c>
      <c r="G12" s="11"/>
    </row>
    <row r="13" spans="1:9" x14ac:dyDescent="0.3">
      <c r="A13" s="6">
        <f t="shared" si="0"/>
        <v>12</v>
      </c>
      <c r="B13" s="16"/>
      <c r="C13" s="14"/>
      <c r="D13" s="17"/>
      <c r="E13" s="17"/>
      <c r="F13" s="10">
        <f>D13-C13</f>
        <v>0</v>
      </c>
      <c r="G13" s="11"/>
    </row>
    <row r="14" spans="1:9" x14ac:dyDescent="0.3">
      <c r="A14" s="6">
        <f t="shared" si="0"/>
        <v>13</v>
      </c>
      <c r="B14" s="16" t="s">
        <v>69</v>
      </c>
      <c r="C14" s="14"/>
      <c r="D14" s="17"/>
      <c r="E14" s="17"/>
      <c r="F14" s="10">
        <v>1.041666666666667E-2</v>
      </c>
      <c r="G14" s="11"/>
    </row>
    <row r="15" spans="1:9" x14ac:dyDescent="0.3">
      <c r="A15" s="6">
        <f t="shared" si="0"/>
        <v>14</v>
      </c>
      <c r="B15" s="16" t="s">
        <v>70</v>
      </c>
      <c r="C15" s="14"/>
      <c r="D15" s="17"/>
      <c r="E15" s="17"/>
      <c r="F15" s="10">
        <v>1.041666666666667E-2</v>
      </c>
      <c r="G15" s="11"/>
    </row>
    <row r="16" spans="1:9" x14ac:dyDescent="0.3">
      <c r="A16" s="6">
        <f t="shared" si="0"/>
        <v>15</v>
      </c>
      <c r="B16" s="16" t="s">
        <v>71</v>
      </c>
      <c r="C16" s="14"/>
      <c r="D16" s="17"/>
      <c r="E16" s="17"/>
      <c r="F16" s="10">
        <v>3.125E-2</v>
      </c>
      <c r="G16" s="11"/>
    </row>
    <row r="17" spans="1:7" x14ac:dyDescent="0.3">
      <c r="A17" s="6">
        <f t="shared" si="0"/>
        <v>16</v>
      </c>
      <c r="B17" s="16" t="s">
        <v>72</v>
      </c>
      <c r="C17" s="14"/>
      <c r="D17" s="17"/>
      <c r="E17" s="17"/>
      <c r="F17" s="10">
        <v>3.125E-2</v>
      </c>
      <c r="G17" s="11"/>
    </row>
    <row r="18" spans="1:7" x14ac:dyDescent="0.3">
      <c r="A18" s="6">
        <f t="shared" si="0"/>
        <v>17</v>
      </c>
      <c r="B18" s="16" t="s">
        <v>73</v>
      </c>
      <c r="C18" s="14"/>
      <c r="D18" s="17"/>
      <c r="E18" s="17"/>
      <c r="F18" s="10">
        <v>1.388888888888889E-2</v>
      </c>
      <c r="G18" s="11"/>
    </row>
    <row r="19" spans="1:7" x14ac:dyDescent="0.3">
      <c r="A19" s="6">
        <f t="shared" si="0"/>
        <v>18</v>
      </c>
      <c r="B19" s="16" t="s">
        <v>74</v>
      </c>
      <c r="C19" s="14"/>
      <c r="D19" s="17"/>
      <c r="E19" s="17"/>
      <c r="F19" s="10">
        <v>1.388888888888889E-2</v>
      </c>
      <c r="G19" s="11"/>
    </row>
    <row r="20" spans="1:7" x14ac:dyDescent="0.3">
      <c r="A20" s="6">
        <f t="shared" si="0"/>
        <v>19</v>
      </c>
      <c r="B20" s="16" t="s">
        <v>75</v>
      </c>
      <c r="C20" s="14"/>
      <c r="D20" s="17"/>
      <c r="E20" s="17"/>
      <c r="F20" s="10">
        <v>6.9444444444444441E-3</v>
      </c>
      <c r="G20" s="11"/>
    </row>
    <row r="21" spans="1:7" ht="15.75" customHeight="1" thickBot="1" x14ac:dyDescent="0.35">
      <c r="A21" s="6">
        <f t="shared" si="0"/>
        <v>20</v>
      </c>
      <c r="B21" s="16" t="s">
        <v>76</v>
      </c>
      <c r="C21" s="18"/>
      <c r="D21" s="19"/>
      <c r="E21" s="17"/>
      <c r="F21" s="10">
        <v>6.9444444444444441E-3</v>
      </c>
      <c r="G21" s="11"/>
    </row>
    <row r="22" spans="1:7" ht="15.75" customHeight="1" thickBot="1" x14ac:dyDescent="0.35">
      <c r="A22" s="20"/>
      <c r="B22" s="21" t="s">
        <v>18</v>
      </c>
      <c r="C22" s="22"/>
      <c r="D22" s="22"/>
      <c r="E22" s="23"/>
      <c r="F22" s="10">
        <f>SUM(F2:F21)</f>
        <v>0.36111111111111105</v>
      </c>
      <c r="G22" s="25"/>
    </row>
    <row r="25" spans="1:7" ht="15.75" customHeight="1" thickBot="1" x14ac:dyDescent="0.35"/>
    <row r="26" spans="1:7" ht="15.75" customHeight="1" thickBot="1" x14ac:dyDescent="0.35">
      <c r="A26" s="26" t="s">
        <v>0</v>
      </c>
      <c r="B26" s="27" t="s">
        <v>1</v>
      </c>
      <c r="C26" s="26" t="s">
        <v>19</v>
      </c>
    </row>
    <row r="27" spans="1:7" x14ac:dyDescent="0.3">
      <c r="A27" s="28">
        <v>1</v>
      </c>
      <c r="B27" s="29" t="s">
        <v>7</v>
      </c>
      <c r="C27" s="30">
        <v>1.388888888888889E-2</v>
      </c>
    </row>
    <row r="28" spans="1:7" x14ac:dyDescent="0.3">
      <c r="A28" s="28">
        <v>2</v>
      </c>
      <c r="B28" s="29" t="s">
        <v>9</v>
      </c>
      <c r="C28" s="30">
        <v>6.9444444444444441E-3</v>
      </c>
    </row>
    <row r="29" spans="1:7" x14ac:dyDescent="0.3">
      <c r="A29" s="28">
        <v>3</v>
      </c>
      <c r="B29" s="29" t="s">
        <v>10</v>
      </c>
      <c r="C29" s="30">
        <v>1.041666666666667E-2</v>
      </c>
    </row>
    <row r="30" spans="1:7" x14ac:dyDescent="0.3">
      <c r="A30" s="28">
        <v>4</v>
      </c>
      <c r="B30" s="29" t="s">
        <v>64</v>
      </c>
      <c r="C30" s="30">
        <v>1.388888888888889E-2</v>
      </c>
    </row>
    <row r="31" spans="1:7" x14ac:dyDescent="0.3">
      <c r="A31" s="28">
        <v>5</v>
      </c>
      <c r="B31" s="29" t="s">
        <v>30</v>
      </c>
      <c r="C31" s="30">
        <v>6.9444444444444448E-2</v>
      </c>
    </row>
    <row r="32" spans="1:7" x14ac:dyDescent="0.3">
      <c r="A32" s="28">
        <v>6</v>
      </c>
      <c r="B32" s="29" t="s">
        <v>65</v>
      </c>
      <c r="C32" s="30">
        <v>3.4722222222222217E-2</v>
      </c>
    </row>
    <row r="33" spans="1:3" x14ac:dyDescent="0.3">
      <c r="A33" s="28">
        <v>7</v>
      </c>
      <c r="B33" s="29" t="s">
        <v>66</v>
      </c>
      <c r="C33" s="30">
        <v>2.0833333333333329E-2</v>
      </c>
    </row>
    <row r="34" spans="1:3" x14ac:dyDescent="0.3">
      <c r="A34" s="28">
        <v>8</v>
      </c>
      <c r="B34" s="29" t="s">
        <v>67</v>
      </c>
      <c r="C34" s="30">
        <v>1.388888888888889E-2</v>
      </c>
    </row>
    <row r="35" spans="1:3" x14ac:dyDescent="0.3">
      <c r="A35" s="28">
        <v>9</v>
      </c>
      <c r="B35" s="29" t="s">
        <v>68</v>
      </c>
      <c r="C35" s="30">
        <v>1.041666666666667E-2</v>
      </c>
    </row>
    <row r="36" spans="1:3" x14ac:dyDescent="0.3">
      <c r="A36" s="28">
        <v>10</v>
      </c>
      <c r="B36" s="29" t="s">
        <v>69</v>
      </c>
      <c r="C36" s="30">
        <v>1.041666666666667E-2</v>
      </c>
    </row>
    <row r="37" spans="1:3" x14ac:dyDescent="0.3">
      <c r="A37" s="28">
        <v>11</v>
      </c>
      <c r="B37" s="29" t="s">
        <v>70</v>
      </c>
      <c r="C37" s="30">
        <v>1.041666666666667E-2</v>
      </c>
    </row>
    <row r="38" spans="1:3" x14ac:dyDescent="0.3">
      <c r="A38" s="28">
        <v>12</v>
      </c>
      <c r="B38" s="29" t="s">
        <v>71</v>
      </c>
      <c r="C38" s="30">
        <v>3.125E-2</v>
      </c>
    </row>
    <row r="39" spans="1:3" x14ac:dyDescent="0.3">
      <c r="A39" s="28">
        <v>13</v>
      </c>
      <c r="B39" s="29" t="s">
        <v>72</v>
      </c>
      <c r="C39" s="30">
        <v>3.125E-2</v>
      </c>
    </row>
    <row r="40" spans="1:3" x14ac:dyDescent="0.3">
      <c r="A40" s="28">
        <v>14</v>
      </c>
      <c r="B40" s="29" t="s">
        <v>73</v>
      </c>
      <c r="C40" s="30">
        <v>1.388888888888889E-2</v>
      </c>
    </row>
    <row r="41" spans="1:3" x14ac:dyDescent="0.3">
      <c r="A41" s="28">
        <v>15</v>
      </c>
      <c r="B41" s="29" t="s">
        <v>74</v>
      </c>
      <c r="C41" s="30">
        <v>1.388888888888889E-2</v>
      </c>
    </row>
    <row r="42" spans="1:3" x14ac:dyDescent="0.3">
      <c r="A42" s="28">
        <v>16</v>
      </c>
      <c r="B42" s="29" t="s">
        <v>75</v>
      </c>
      <c r="C42" s="30">
        <v>6.9444444444444441E-3</v>
      </c>
    </row>
    <row r="43" spans="1:3" x14ac:dyDescent="0.3">
      <c r="A43" s="28">
        <v>17</v>
      </c>
      <c r="B43" s="29" t="s">
        <v>76</v>
      </c>
      <c r="C43" s="30">
        <v>6.9444444444444441E-3</v>
      </c>
    </row>
    <row r="44" spans="1:3" x14ac:dyDescent="0.3">
      <c r="C44" s="40">
        <f>SUM(C27:C43)</f>
        <v>0.31944444444444442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2"/>
  <sheetViews>
    <sheetView topLeftCell="A28" workbookViewId="0">
      <selection activeCell="B44" sqref="B44"/>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c r="D2" s="9"/>
      <c r="E2" s="9">
        <v>1.388888888888889E-2</v>
      </c>
      <c r="F2" s="10">
        <f t="shared" ref="F2:F21" si="1">D2-C2</f>
        <v>0</v>
      </c>
      <c r="G2" s="11"/>
      <c r="I2" s="44" t="s">
        <v>8</v>
      </c>
    </row>
    <row r="3" spans="1:9" x14ac:dyDescent="0.3">
      <c r="A3" s="6">
        <f t="shared" si="0"/>
        <v>2</v>
      </c>
      <c r="B3" s="13" t="s">
        <v>9</v>
      </c>
      <c r="C3" s="14"/>
      <c r="D3" s="10"/>
      <c r="E3" s="10">
        <v>1.7361111111111108E-2</v>
      </c>
      <c r="F3" s="10">
        <f t="shared" si="1"/>
        <v>0</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ht="15" customHeight="1" thickBot="1" x14ac:dyDescent="0.35">
      <c r="A6" s="6">
        <f t="shared" si="0"/>
        <v>5</v>
      </c>
      <c r="B6" s="16" t="s">
        <v>12</v>
      </c>
      <c r="C6" s="14"/>
      <c r="D6" s="10"/>
      <c r="E6" s="10"/>
      <c r="F6" s="10">
        <f t="shared" si="1"/>
        <v>0</v>
      </c>
      <c r="G6" s="11"/>
    </row>
    <row r="7" spans="1:9" x14ac:dyDescent="0.3">
      <c r="A7" s="6">
        <f t="shared" si="0"/>
        <v>6</v>
      </c>
      <c r="B7" s="7" t="s">
        <v>77</v>
      </c>
      <c r="C7" s="14"/>
      <c r="D7" s="10"/>
      <c r="E7" s="10"/>
      <c r="F7" s="10">
        <f t="shared" si="1"/>
        <v>0</v>
      </c>
      <c r="G7" s="11"/>
    </row>
    <row r="8" spans="1:9" x14ac:dyDescent="0.3">
      <c r="A8" s="6">
        <f t="shared" si="0"/>
        <v>7</v>
      </c>
      <c r="B8" s="13" t="s">
        <v>78</v>
      </c>
      <c r="C8" s="14"/>
      <c r="D8" s="10"/>
      <c r="E8" s="10"/>
      <c r="F8" s="14">
        <f t="shared" si="1"/>
        <v>0</v>
      </c>
      <c r="G8" s="11"/>
    </row>
    <row r="9" spans="1:9" x14ac:dyDescent="0.3">
      <c r="A9" s="6">
        <f t="shared" si="0"/>
        <v>8</v>
      </c>
      <c r="B9" s="15" t="s">
        <v>79</v>
      </c>
      <c r="C9" s="14"/>
      <c r="D9" s="10"/>
      <c r="E9" s="10"/>
      <c r="F9" s="10">
        <f t="shared" si="1"/>
        <v>0</v>
      </c>
      <c r="G9" s="11"/>
    </row>
    <row r="10" spans="1:9" x14ac:dyDescent="0.3">
      <c r="A10" s="6">
        <f t="shared" si="0"/>
        <v>9</v>
      </c>
      <c r="B10" s="13" t="s">
        <v>80</v>
      </c>
      <c r="C10" s="14"/>
      <c r="D10" s="10"/>
      <c r="E10" s="10"/>
      <c r="F10" s="10">
        <f t="shared" si="1"/>
        <v>0</v>
      </c>
      <c r="G10" s="11"/>
    </row>
    <row r="11" spans="1:9" x14ac:dyDescent="0.3">
      <c r="A11" s="6">
        <f t="shared" si="0"/>
        <v>10</v>
      </c>
      <c r="B11" s="16" t="s">
        <v>12</v>
      </c>
      <c r="C11" s="14"/>
      <c r="D11" s="17"/>
      <c r="E11" s="17"/>
      <c r="F11" s="10">
        <f t="shared" si="1"/>
        <v>0</v>
      </c>
      <c r="G11" s="11"/>
    </row>
    <row r="12" spans="1:9" ht="28.8" customHeight="1" x14ac:dyDescent="0.3">
      <c r="A12" s="6">
        <f t="shared" si="0"/>
        <v>11</v>
      </c>
      <c r="B12" s="16" t="s">
        <v>81</v>
      </c>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v>
      </c>
      <c r="G22" s="25"/>
    </row>
    <row r="25" spans="1:7" ht="15.75" customHeight="1" thickBot="1" x14ac:dyDescent="0.35"/>
    <row r="26" spans="1:7" ht="15.75" customHeight="1" thickBot="1" x14ac:dyDescent="0.35">
      <c r="A26" s="26" t="s">
        <v>0</v>
      </c>
      <c r="B26" s="27" t="s">
        <v>1</v>
      </c>
      <c r="C26" s="26" t="s">
        <v>19</v>
      </c>
    </row>
    <row r="27" spans="1:7" x14ac:dyDescent="0.3">
      <c r="A27" s="28">
        <v>1</v>
      </c>
      <c r="B27" s="29" t="s">
        <v>7</v>
      </c>
      <c r="C27" s="30"/>
    </row>
    <row r="28" spans="1:7" x14ac:dyDescent="0.3">
      <c r="A28" s="28">
        <v>2</v>
      </c>
      <c r="B28" s="29" t="s">
        <v>9</v>
      </c>
      <c r="C28" s="30"/>
    </row>
    <row r="29" spans="1:7" x14ac:dyDescent="0.3">
      <c r="A29" s="28">
        <v>3</v>
      </c>
      <c r="B29" s="29" t="s">
        <v>10</v>
      </c>
      <c r="C29" s="30"/>
    </row>
    <row r="30" spans="1:7" x14ac:dyDescent="0.3">
      <c r="A30" s="28">
        <v>4</v>
      </c>
      <c r="B30" s="29" t="s">
        <v>11</v>
      </c>
      <c r="C30" s="30"/>
    </row>
    <row r="31" spans="1:7" x14ac:dyDescent="0.3">
      <c r="A31" s="28">
        <v>5</v>
      </c>
      <c r="B31" s="29" t="s">
        <v>12</v>
      </c>
      <c r="C31" s="30"/>
    </row>
    <row r="32" spans="1:7" x14ac:dyDescent="0.3">
      <c r="A32" s="28">
        <v>6</v>
      </c>
      <c r="B32" s="29" t="s">
        <v>77</v>
      </c>
      <c r="C32" s="30"/>
    </row>
    <row r="33" spans="1:3" x14ac:dyDescent="0.3">
      <c r="A33" s="28">
        <v>7</v>
      </c>
      <c r="B33" s="29" t="s">
        <v>78</v>
      </c>
      <c r="C33" s="30"/>
    </row>
    <row r="34" spans="1:3" x14ac:dyDescent="0.3">
      <c r="A34" s="28">
        <v>8</v>
      </c>
      <c r="B34" s="29" t="s">
        <v>79</v>
      </c>
      <c r="C34" s="30"/>
    </row>
    <row r="35" spans="1:3" x14ac:dyDescent="0.3">
      <c r="A35" s="28">
        <v>9</v>
      </c>
      <c r="B35" s="29" t="s">
        <v>80</v>
      </c>
      <c r="C35" s="30"/>
    </row>
    <row r="36" spans="1:3" x14ac:dyDescent="0.3">
      <c r="A36" s="28">
        <v>10</v>
      </c>
      <c r="B36" s="29" t="s">
        <v>12</v>
      </c>
      <c r="C36" s="30"/>
    </row>
    <row r="37" spans="1:3" x14ac:dyDescent="0.3">
      <c r="A37" s="28">
        <v>11</v>
      </c>
      <c r="B37" s="29" t="s">
        <v>81</v>
      </c>
      <c r="C37" s="30"/>
    </row>
    <row r="38" spans="1:3" x14ac:dyDescent="0.3">
      <c r="A38" s="28">
        <v>12</v>
      </c>
      <c r="B38" s="29" t="s">
        <v>82</v>
      </c>
      <c r="C38" s="30"/>
    </row>
    <row r="39" spans="1:3" x14ac:dyDescent="0.3">
      <c r="A39" s="28">
        <v>13</v>
      </c>
      <c r="B39" s="29" t="s">
        <v>69</v>
      </c>
      <c r="C39" s="30"/>
    </row>
    <row r="40" spans="1:3" x14ac:dyDescent="0.3">
      <c r="A40" s="28">
        <v>14</v>
      </c>
      <c r="B40" s="29" t="s">
        <v>70</v>
      </c>
      <c r="C40" s="30"/>
    </row>
    <row r="41" spans="1:3" x14ac:dyDescent="0.3">
      <c r="A41" s="28">
        <v>15</v>
      </c>
      <c r="B41" s="29" t="s">
        <v>83</v>
      </c>
      <c r="C41" s="30"/>
    </row>
    <row r="42" spans="1:3" x14ac:dyDescent="0.3">
      <c r="A42" s="28">
        <v>16</v>
      </c>
      <c r="B42" s="29" t="s">
        <v>84</v>
      </c>
      <c r="C42" s="30"/>
    </row>
    <row r="43" spans="1:3" x14ac:dyDescent="0.3">
      <c r="A43" s="28">
        <v>17</v>
      </c>
      <c r="B43" s="29" t="s">
        <v>75</v>
      </c>
      <c r="C43" s="30"/>
    </row>
    <row r="44" spans="1:3" x14ac:dyDescent="0.3">
      <c r="A44" s="56">
        <v>18</v>
      </c>
      <c r="B44" s="29" t="s">
        <v>76</v>
      </c>
      <c r="C44" s="30"/>
    </row>
    <row r="65" spans="2:3" x14ac:dyDescent="0.3">
      <c r="B65" t="s">
        <v>85</v>
      </c>
      <c r="C65" t="s">
        <v>86</v>
      </c>
    </row>
    <row r="66" spans="2:3" x14ac:dyDescent="0.3">
      <c r="B66" t="s">
        <v>87</v>
      </c>
      <c r="C66" t="s">
        <v>86</v>
      </c>
    </row>
    <row r="67" spans="2:3" x14ac:dyDescent="0.3">
      <c r="B67" t="s">
        <v>88</v>
      </c>
      <c r="C67" t="s">
        <v>86</v>
      </c>
    </row>
    <row r="68" spans="2:3" x14ac:dyDescent="0.3">
      <c r="B68" t="s">
        <v>89</v>
      </c>
      <c r="C68" t="s">
        <v>86</v>
      </c>
    </row>
    <row r="69" spans="2:3" x14ac:dyDescent="0.3">
      <c r="B69" t="s">
        <v>90</v>
      </c>
      <c r="C69" t="s">
        <v>86</v>
      </c>
    </row>
    <row r="70" spans="2:3" x14ac:dyDescent="0.3">
      <c r="B70" t="s">
        <v>91</v>
      </c>
      <c r="C70" t="s">
        <v>86</v>
      </c>
    </row>
    <row r="71" spans="2:3" x14ac:dyDescent="0.3">
      <c r="B71" t="s">
        <v>92</v>
      </c>
      <c r="C71" t="s">
        <v>86</v>
      </c>
    </row>
    <row r="72" spans="2:3" x14ac:dyDescent="0.3">
      <c r="B72" t="s">
        <v>93</v>
      </c>
      <c r="C72" t="s">
        <v>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7"/>
  <sheetViews>
    <sheetView topLeftCell="A27" workbookViewId="0">
      <selection activeCell="B46" sqref="B46"/>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v>0.40625</v>
      </c>
      <c r="D2" s="9">
        <v>0.4201388888888889</v>
      </c>
      <c r="E2" s="9">
        <v>1.388888888888889E-2</v>
      </c>
      <c r="F2" s="10">
        <f t="shared" ref="F2:F21" si="1">D2-C2</f>
        <v>1.3888888888888895E-2</v>
      </c>
      <c r="G2" s="11"/>
      <c r="I2" s="44" t="s">
        <v>8</v>
      </c>
    </row>
    <row r="3" spans="1:9" x14ac:dyDescent="0.3">
      <c r="A3" s="6">
        <f t="shared" si="0"/>
        <v>2</v>
      </c>
      <c r="B3" s="13" t="s">
        <v>9</v>
      </c>
      <c r="C3" s="14">
        <v>0.4201388888888889</v>
      </c>
      <c r="D3" s="10">
        <v>0.4236111111111111</v>
      </c>
      <c r="E3" s="10">
        <v>1.7361111111111108E-2</v>
      </c>
      <c r="F3" s="10">
        <f t="shared" si="1"/>
        <v>3.4722222222222099E-3</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1.7361111111111105E-2</v>
      </c>
      <c r="G22" s="25"/>
    </row>
    <row r="25" spans="1:7" ht="15.75" customHeight="1" thickBot="1" x14ac:dyDescent="0.35"/>
    <row r="26" spans="1:7" ht="15.75" customHeight="1" thickBot="1" x14ac:dyDescent="0.35">
      <c r="A26" s="26" t="s">
        <v>0</v>
      </c>
      <c r="B26" s="27" t="s">
        <v>1</v>
      </c>
      <c r="C26" s="26" t="s">
        <v>19</v>
      </c>
    </row>
    <row r="27" spans="1:7" ht="15" customHeight="1" x14ac:dyDescent="0.3">
      <c r="A27" s="57">
        <v>1</v>
      </c>
      <c r="B27" s="29" t="s">
        <v>94</v>
      </c>
      <c r="C27" s="30">
        <v>1.7361111111111108E-2</v>
      </c>
    </row>
    <row r="28" spans="1:7" ht="15" customHeight="1" x14ac:dyDescent="0.3">
      <c r="A28" s="57">
        <v>2</v>
      </c>
      <c r="B28" s="29" t="s">
        <v>37</v>
      </c>
      <c r="C28" s="30">
        <v>6.9444444444444441E-3</v>
      </c>
    </row>
    <row r="29" spans="1:7" ht="15" customHeight="1" x14ac:dyDescent="0.3">
      <c r="A29" s="57">
        <v>3</v>
      </c>
      <c r="B29" s="29" t="s">
        <v>41</v>
      </c>
      <c r="C29" s="30">
        <v>6.9444444444444441E-3</v>
      </c>
    </row>
    <row r="30" spans="1:7" ht="15" customHeight="1" x14ac:dyDescent="0.3">
      <c r="A30" s="57">
        <v>4</v>
      </c>
      <c r="B30" s="29" t="s">
        <v>38</v>
      </c>
      <c r="C30" s="30">
        <v>1.388888888888889E-2</v>
      </c>
    </row>
    <row r="31" spans="1:7" ht="15" customHeight="1" x14ac:dyDescent="0.3">
      <c r="A31" s="57">
        <v>5</v>
      </c>
      <c r="B31" s="29" t="s">
        <v>42</v>
      </c>
      <c r="C31" s="30">
        <v>1.388888888888889E-2</v>
      </c>
    </row>
    <row r="32" spans="1:7" ht="15" customHeight="1" x14ac:dyDescent="0.3">
      <c r="A32" s="57">
        <v>6</v>
      </c>
      <c r="B32" s="29" t="s">
        <v>55</v>
      </c>
      <c r="C32" s="30">
        <v>1.388888888888889E-2</v>
      </c>
    </row>
    <row r="33" spans="1:3" ht="15" customHeight="1" x14ac:dyDescent="0.3">
      <c r="A33" s="57">
        <v>7</v>
      </c>
      <c r="B33" s="29" t="s">
        <v>95</v>
      </c>
      <c r="C33" s="30">
        <v>1.388888888888889E-2</v>
      </c>
    </row>
    <row r="34" spans="1:3" ht="15" customHeight="1" x14ac:dyDescent="0.3">
      <c r="A34" s="57">
        <v>8</v>
      </c>
      <c r="B34" s="29" t="s">
        <v>53</v>
      </c>
      <c r="C34" s="30">
        <v>1.388888888888889E-2</v>
      </c>
    </row>
    <row r="35" spans="1:3" ht="15" customHeight="1" x14ac:dyDescent="0.3">
      <c r="A35" s="57">
        <v>9</v>
      </c>
      <c r="B35" s="29" t="s">
        <v>96</v>
      </c>
      <c r="C35" s="30">
        <v>1.388888888888889E-2</v>
      </c>
    </row>
    <row r="36" spans="1:3" ht="15" customHeight="1" x14ac:dyDescent="0.3">
      <c r="A36" s="57">
        <v>10</v>
      </c>
      <c r="B36" s="29" t="s">
        <v>45</v>
      </c>
      <c r="C36" s="30">
        <v>6.9444444444444441E-3</v>
      </c>
    </row>
    <row r="37" spans="1:3" ht="15" customHeight="1" x14ac:dyDescent="0.3">
      <c r="A37" s="57">
        <v>11</v>
      </c>
      <c r="B37" s="29" t="s">
        <v>46</v>
      </c>
      <c r="C37" s="30">
        <v>6.9444444444444441E-3</v>
      </c>
    </row>
    <row r="38" spans="1:3" ht="15" customHeight="1" x14ac:dyDescent="0.3">
      <c r="A38" s="57">
        <v>12</v>
      </c>
      <c r="B38" s="29" t="s">
        <v>97</v>
      </c>
      <c r="C38" s="30">
        <v>1.7361111111111108E-2</v>
      </c>
    </row>
    <row r="39" spans="1:3" ht="15" customHeight="1" x14ac:dyDescent="0.3">
      <c r="A39" s="57">
        <v>13</v>
      </c>
      <c r="B39" s="29" t="s">
        <v>98</v>
      </c>
      <c r="C39" s="30">
        <v>1.7361111111111108E-2</v>
      </c>
    </row>
    <row r="40" spans="1:3" ht="15" customHeight="1" x14ac:dyDescent="0.3">
      <c r="A40" s="57">
        <v>14</v>
      </c>
      <c r="B40" s="29" t="s">
        <v>99</v>
      </c>
      <c r="C40" s="30">
        <v>1.388888888888889E-2</v>
      </c>
    </row>
    <row r="41" spans="1:3" ht="15" customHeight="1" x14ac:dyDescent="0.3">
      <c r="A41" s="57">
        <v>15</v>
      </c>
      <c r="B41" s="29" t="s">
        <v>82</v>
      </c>
      <c r="C41" s="30">
        <v>4.1666666666666657E-2</v>
      </c>
    </row>
    <row r="42" spans="1:3" ht="15" customHeight="1" x14ac:dyDescent="0.3">
      <c r="A42" s="57">
        <v>16</v>
      </c>
      <c r="B42" s="29" t="s">
        <v>69</v>
      </c>
      <c r="C42" s="30">
        <v>6.9444444444444441E-3</v>
      </c>
    </row>
    <row r="43" spans="1:3" ht="15" customHeight="1" x14ac:dyDescent="0.3">
      <c r="A43" s="57">
        <v>17</v>
      </c>
      <c r="B43" s="29" t="s">
        <v>70</v>
      </c>
      <c r="C43" s="30">
        <v>6.9444444444444441E-3</v>
      </c>
    </row>
    <row r="44" spans="1:3" ht="15" customHeight="1" x14ac:dyDescent="0.3">
      <c r="A44" s="57">
        <v>18</v>
      </c>
      <c r="B44" s="29" t="s">
        <v>83</v>
      </c>
      <c r="C44" s="30">
        <v>7.2916666666666671E-2</v>
      </c>
    </row>
    <row r="45" spans="1:3" ht="15" customHeight="1" x14ac:dyDescent="0.3">
      <c r="A45" s="57">
        <v>19</v>
      </c>
      <c r="B45" s="29" t="s">
        <v>84</v>
      </c>
      <c r="C45" s="30">
        <v>1.041666666666667E-2</v>
      </c>
    </row>
    <row r="46" spans="1:3" ht="15" customHeight="1" thickBot="1" x14ac:dyDescent="0.35">
      <c r="A46" s="58">
        <v>20</v>
      </c>
      <c r="B46" s="29" t="s">
        <v>100</v>
      </c>
      <c r="C46" s="30">
        <v>1.388888888888889E-2</v>
      </c>
    </row>
    <row r="47" spans="1:3" x14ac:dyDescent="0.3">
      <c r="C47" s="40">
        <f>SUM(C27:C46)</f>
        <v>0.32986111111111116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6"/>
  <sheetViews>
    <sheetView topLeftCell="A27" workbookViewId="0">
      <selection activeCell="I46" sqref="I46"/>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v>0.40625</v>
      </c>
      <c r="D2" s="9">
        <v>0.4201388888888889</v>
      </c>
      <c r="E2" s="9">
        <v>1.388888888888889E-2</v>
      </c>
      <c r="F2" s="10">
        <f t="shared" ref="F2:F21" si="1">D2-C2</f>
        <v>1.3888888888888895E-2</v>
      </c>
      <c r="G2" s="11"/>
      <c r="I2" s="44" t="s">
        <v>8</v>
      </c>
    </row>
    <row r="3" spans="1:9" x14ac:dyDescent="0.3">
      <c r="A3" s="6">
        <f t="shared" si="0"/>
        <v>2</v>
      </c>
      <c r="B3" s="13" t="s">
        <v>9</v>
      </c>
      <c r="C3" s="14">
        <v>0.4201388888888889</v>
      </c>
      <c r="D3" s="10">
        <v>0.4236111111111111</v>
      </c>
      <c r="E3" s="10">
        <v>1.7361111111111108E-2</v>
      </c>
      <c r="F3" s="10">
        <f t="shared" si="1"/>
        <v>3.4722222222222099E-3</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1.7361111111111105E-2</v>
      </c>
      <c r="G22" s="25"/>
    </row>
    <row r="25" spans="1:7" ht="15.75" customHeight="1" thickBot="1" x14ac:dyDescent="0.35"/>
    <row r="26" spans="1:7" ht="15.75" customHeight="1" thickBot="1" x14ac:dyDescent="0.35">
      <c r="A26" s="26" t="s">
        <v>0</v>
      </c>
      <c r="B26" s="27" t="s">
        <v>1</v>
      </c>
      <c r="C26" s="26" t="s">
        <v>19</v>
      </c>
    </row>
    <row r="27" spans="1:7" ht="15" customHeight="1" x14ac:dyDescent="0.3">
      <c r="A27" s="28">
        <v>1</v>
      </c>
      <c r="B27" s="29" t="s">
        <v>7</v>
      </c>
      <c r="C27" s="30">
        <v>1.7361111111111108E-2</v>
      </c>
    </row>
    <row r="28" spans="1:7" ht="15" customHeight="1" x14ac:dyDescent="0.3">
      <c r="A28" s="28">
        <v>2</v>
      </c>
      <c r="B28" s="29" t="s">
        <v>10</v>
      </c>
      <c r="C28" s="30">
        <v>1.388888888888889E-2</v>
      </c>
    </row>
    <row r="29" spans="1:7" ht="15" customHeight="1" x14ac:dyDescent="0.3">
      <c r="A29" s="28">
        <v>3</v>
      </c>
      <c r="B29" s="29" t="s">
        <v>101</v>
      </c>
      <c r="C29" s="30">
        <v>1.7361111111111108E-2</v>
      </c>
    </row>
    <row r="30" spans="1:7" ht="15" customHeight="1" x14ac:dyDescent="0.3">
      <c r="A30" s="28">
        <v>4</v>
      </c>
      <c r="B30" s="29" t="s">
        <v>82</v>
      </c>
      <c r="C30" s="30">
        <v>2.0833333333333329E-2</v>
      </c>
    </row>
    <row r="31" spans="1:7" ht="15" customHeight="1" x14ac:dyDescent="0.3">
      <c r="A31" s="28">
        <v>5</v>
      </c>
      <c r="B31" s="29" t="s">
        <v>102</v>
      </c>
      <c r="C31" s="30">
        <v>3.125E-2</v>
      </c>
    </row>
    <row r="32" spans="1:7" ht="15" customHeight="1" x14ac:dyDescent="0.3">
      <c r="A32" s="28">
        <v>6</v>
      </c>
      <c r="B32" s="29" t="s">
        <v>103</v>
      </c>
      <c r="C32" s="30">
        <v>4.1666666666666657E-2</v>
      </c>
    </row>
    <row r="33" spans="1:3" ht="15" customHeight="1" x14ac:dyDescent="0.3">
      <c r="A33" s="28">
        <v>7</v>
      </c>
      <c r="B33" s="29" t="s">
        <v>104</v>
      </c>
      <c r="C33" s="30">
        <v>1.388888888888889E-2</v>
      </c>
    </row>
    <row r="34" spans="1:3" ht="15" customHeight="1" x14ac:dyDescent="0.3">
      <c r="A34" s="28">
        <v>8</v>
      </c>
      <c r="B34" s="29" t="s">
        <v>105</v>
      </c>
      <c r="C34" s="30">
        <v>6.9444444444444441E-3</v>
      </c>
    </row>
    <row r="35" spans="1:3" ht="15" customHeight="1" x14ac:dyDescent="0.3">
      <c r="A35" s="28">
        <v>9</v>
      </c>
      <c r="B35" s="29" t="s">
        <v>99</v>
      </c>
      <c r="C35" s="30">
        <v>3.125E-2</v>
      </c>
    </row>
    <row r="36" spans="1:3" ht="15" customHeight="1" x14ac:dyDescent="0.3">
      <c r="A36" s="28">
        <v>10</v>
      </c>
      <c r="B36" s="29" t="s">
        <v>70</v>
      </c>
      <c r="C36" s="30">
        <v>6.9444444444444441E-3</v>
      </c>
    </row>
    <row r="37" spans="1:3" ht="15" customHeight="1" x14ac:dyDescent="0.3">
      <c r="A37" s="28">
        <v>11</v>
      </c>
      <c r="B37" s="29" t="s">
        <v>72</v>
      </c>
      <c r="C37" s="30">
        <v>7.2916666666666671E-2</v>
      </c>
    </row>
    <row r="38" spans="1:3" ht="15" customHeight="1" x14ac:dyDescent="0.3">
      <c r="A38" s="28">
        <v>12</v>
      </c>
      <c r="B38" s="29" t="s">
        <v>106</v>
      </c>
      <c r="C38" s="30">
        <v>1.041666666666667E-2</v>
      </c>
    </row>
    <row r="39" spans="1:3" ht="15" customHeight="1" x14ac:dyDescent="0.3">
      <c r="A39" s="28">
        <v>13</v>
      </c>
      <c r="B39" s="29" t="s">
        <v>100</v>
      </c>
      <c r="C39" s="30">
        <v>1.388888888888889E-2</v>
      </c>
    </row>
    <row r="40" spans="1:3" ht="15" customHeight="1" x14ac:dyDescent="0.3">
      <c r="A40" s="28">
        <v>14</v>
      </c>
      <c r="B40" s="29" t="s">
        <v>76</v>
      </c>
      <c r="C40" s="30">
        <v>1.041666666666667E-2</v>
      </c>
    </row>
    <row r="41" spans="1:3" ht="15" customHeight="1" x14ac:dyDescent="0.3">
      <c r="C41" s="40" t="str">
        <f ca="1">SUM(C27:C46)</f>
        <v/>
      </c>
    </row>
    <row r="42" spans="1:3" ht="15" customHeight="1" x14ac:dyDescent="0.3"/>
    <row r="43" spans="1:3" ht="15" customHeight="1" x14ac:dyDescent="0.3"/>
    <row r="44" spans="1:3" ht="15" customHeight="1" x14ac:dyDescent="0.3"/>
    <row r="45" spans="1:3" ht="15" customHeight="1" x14ac:dyDescent="0.3"/>
    <row r="46" spans="1:3" ht="15" customHeight="1"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4"/>
  <sheetViews>
    <sheetView tabSelected="1" topLeftCell="A28" workbookViewId="0">
      <selection activeCell="A27" sqref="A27:C42"/>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1" t="s">
        <v>1</v>
      </c>
      <c r="C1" s="3" t="s">
        <v>2</v>
      </c>
      <c r="D1" s="4" t="s">
        <v>3</v>
      </c>
      <c r="E1" s="4" t="s">
        <v>4</v>
      </c>
      <c r="F1" s="5" t="s">
        <v>5</v>
      </c>
      <c r="G1" s="1" t="s">
        <v>6</v>
      </c>
    </row>
    <row r="2" spans="1:9" x14ac:dyDescent="0.3">
      <c r="A2" s="6">
        <f t="shared" ref="A2:A21" si="0">ROW() - ROW($A$1)</f>
        <v>1</v>
      </c>
      <c r="B2" s="13" t="s">
        <v>40</v>
      </c>
      <c r="C2" s="8"/>
      <c r="D2" s="9"/>
      <c r="E2" s="9">
        <v>1.388888888888889E-2</v>
      </c>
      <c r="F2" s="10">
        <v>1.388888888888889E-2</v>
      </c>
      <c r="G2" s="11"/>
      <c r="I2" s="44" t="s">
        <v>8</v>
      </c>
    </row>
    <row r="3" spans="1:9" x14ac:dyDescent="0.3">
      <c r="A3" s="6">
        <f t="shared" si="0"/>
        <v>2</v>
      </c>
      <c r="B3" s="13" t="s">
        <v>41</v>
      </c>
      <c r="C3" s="14"/>
      <c r="D3" s="10"/>
      <c r="E3" s="10">
        <v>6.9444444444444441E-3</v>
      </c>
      <c r="F3" s="10">
        <v>6.9444444444444441E-3</v>
      </c>
      <c r="G3" s="11"/>
    </row>
    <row r="4" spans="1:9" x14ac:dyDescent="0.3">
      <c r="A4" s="6">
        <f t="shared" si="0"/>
        <v>3</v>
      </c>
      <c r="B4" s="13" t="s">
        <v>42</v>
      </c>
      <c r="C4" s="14"/>
      <c r="D4" s="10"/>
      <c r="E4" s="10">
        <v>1.7361111111111108E-2</v>
      </c>
      <c r="F4" s="10">
        <v>1.7361111111111108E-2</v>
      </c>
      <c r="G4" s="11"/>
    </row>
    <row r="5" spans="1:9" x14ac:dyDescent="0.3">
      <c r="A5" s="6">
        <f t="shared" si="0"/>
        <v>4</v>
      </c>
      <c r="B5" s="13" t="s">
        <v>55</v>
      </c>
      <c r="C5" s="14">
        <v>0.43472222222222218</v>
      </c>
      <c r="D5" s="10"/>
      <c r="E5" s="10">
        <v>4.1666666666666657E-2</v>
      </c>
      <c r="F5" s="10">
        <f t="shared" ref="F5:F21" si="1">D5-C5</f>
        <v>-0.43472222222222218</v>
      </c>
      <c r="G5" s="11"/>
    </row>
    <row r="6" spans="1:9" x14ac:dyDescent="0.3">
      <c r="A6" s="6">
        <f t="shared" si="0"/>
        <v>5</v>
      </c>
      <c r="B6" s="13" t="s">
        <v>96</v>
      </c>
      <c r="C6" s="14"/>
      <c r="D6" s="10"/>
      <c r="E6" s="10"/>
      <c r="F6" s="10">
        <f t="shared" si="1"/>
        <v>0</v>
      </c>
      <c r="G6" s="11"/>
    </row>
    <row r="7" spans="1:9" x14ac:dyDescent="0.3">
      <c r="A7" s="6">
        <f t="shared" si="0"/>
        <v>6</v>
      </c>
      <c r="B7" s="13" t="s">
        <v>45</v>
      </c>
      <c r="C7" s="14"/>
      <c r="D7" s="10"/>
      <c r="E7" s="10"/>
      <c r="F7" s="10">
        <f t="shared" si="1"/>
        <v>0</v>
      </c>
      <c r="G7" s="11"/>
    </row>
    <row r="8" spans="1:9" x14ac:dyDescent="0.3">
      <c r="A8" s="6">
        <f t="shared" si="0"/>
        <v>7</v>
      </c>
      <c r="B8" s="13" t="s">
        <v>46</v>
      </c>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-0.3965277777777777</v>
      </c>
      <c r="G22" s="25"/>
    </row>
    <row r="25" spans="1:7" ht="15.75" customHeight="1" thickBot="1" x14ac:dyDescent="0.35"/>
    <row r="26" spans="1:7" ht="15.75" customHeight="1" thickBot="1" x14ac:dyDescent="0.35">
      <c r="A26" s="26" t="s">
        <v>0</v>
      </c>
      <c r="B26" s="27" t="s">
        <v>1</v>
      </c>
      <c r="C26" s="26" t="s">
        <v>19</v>
      </c>
    </row>
    <row r="27" spans="1:7" x14ac:dyDescent="0.3">
      <c r="A27" s="28">
        <v>1</v>
      </c>
      <c r="B27" s="29" t="s">
        <v>40</v>
      </c>
      <c r="C27" s="30">
        <v>1.7361111111111108E-2</v>
      </c>
    </row>
    <row r="28" spans="1:7" x14ac:dyDescent="0.3">
      <c r="A28" s="28">
        <v>2</v>
      </c>
      <c r="B28" s="29" t="s">
        <v>41</v>
      </c>
      <c r="C28" s="30">
        <v>6.9444444444444441E-3</v>
      </c>
    </row>
    <row r="29" spans="1:7" x14ac:dyDescent="0.3">
      <c r="A29" s="28">
        <v>3</v>
      </c>
      <c r="B29" s="29" t="s">
        <v>42</v>
      </c>
      <c r="C29" s="30">
        <v>1.388888888888889E-2</v>
      </c>
    </row>
    <row r="30" spans="1:7" x14ac:dyDescent="0.3">
      <c r="A30" s="28">
        <v>4</v>
      </c>
      <c r="B30" s="29" t="s">
        <v>55</v>
      </c>
      <c r="C30" s="30">
        <v>1.388888888888889E-2</v>
      </c>
    </row>
    <row r="31" spans="1:7" x14ac:dyDescent="0.3">
      <c r="A31" s="28">
        <v>5</v>
      </c>
      <c r="B31" s="29" t="s">
        <v>96</v>
      </c>
      <c r="C31" s="30">
        <v>1.388888888888889E-2</v>
      </c>
    </row>
    <row r="32" spans="1:7" x14ac:dyDescent="0.3">
      <c r="A32" s="28">
        <v>6</v>
      </c>
      <c r="B32" s="29" t="s">
        <v>45</v>
      </c>
      <c r="C32" s="30">
        <v>6.9444444444444441E-3</v>
      </c>
    </row>
    <row r="33" spans="1:3" x14ac:dyDescent="0.3">
      <c r="A33" s="28">
        <v>7</v>
      </c>
      <c r="B33" s="29" t="s">
        <v>46</v>
      </c>
      <c r="C33" s="30">
        <v>6.9444444444444441E-3</v>
      </c>
    </row>
    <row r="34" spans="1:3" x14ac:dyDescent="0.3">
      <c r="A34" s="28">
        <v>8</v>
      </c>
      <c r="B34" s="29" t="s">
        <v>102</v>
      </c>
      <c r="C34" s="30">
        <v>1.388888888888889E-2</v>
      </c>
    </row>
    <row r="35" spans="1:3" x14ac:dyDescent="0.3">
      <c r="A35" s="28">
        <v>9</v>
      </c>
      <c r="B35" s="29" t="s">
        <v>82</v>
      </c>
      <c r="C35" s="30">
        <v>2.0833333333333329E-2</v>
      </c>
    </row>
    <row r="36" spans="1:3" x14ac:dyDescent="0.3">
      <c r="A36" s="28">
        <v>10</v>
      </c>
      <c r="B36" s="29" t="s">
        <v>107</v>
      </c>
      <c r="C36" s="30">
        <v>1.7361111111111108E-2</v>
      </c>
    </row>
    <row r="37" spans="1:3" x14ac:dyDescent="0.3">
      <c r="A37" s="28">
        <v>11</v>
      </c>
      <c r="B37" s="29" t="s">
        <v>108</v>
      </c>
      <c r="C37" s="30">
        <v>2.0833333333333329E-2</v>
      </c>
    </row>
    <row r="38" spans="1:3" x14ac:dyDescent="0.3">
      <c r="A38" s="28">
        <v>12</v>
      </c>
      <c r="B38" s="59" t="s">
        <v>109</v>
      </c>
      <c r="C38" s="30">
        <v>3.125E-2</v>
      </c>
    </row>
    <row r="39" spans="1:3" x14ac:dyDescent="0.3">
      <c r="A39" s="28">
        <v>13</v>
      </c>
      <c r="B39" s="29" t="s">
        <v>70</v>
      </c>
      <c r="C39" s="30">
        <v>1.7361111111111108E-2</v>
      </c>
    </row>
    <row r="40" spans="1:3" x14ac:dyDescent="0.3">
      <c r="A40" s="28">
        <v>14</v>
      </c>
      <c r="B40" s="29" t="s">
        <v>72</v>
      </c>
      <c r="C40" s="30">
        <v>6.25E-2</v>
      </c>
    </row>
    <row r="41" spans="1:3" x14ac:dyDescent="0.3">
      <c r="A41" s="28">
        <v>15</v>
      </c>
      <c r="B41" s="29" t="s">
        <v>74</v>
      </c>
      <c r="C41" s="30">
        <v>1.388888888888889E-2</v>
      </c>
    </row>
    <row r="42" spans="1:3" x14ac:dyDescent="0.3">
      <c r="A42" s="28">
        <v>16</v>
      </c>
      <c r="B42" s="29" t="s">
        <v>76</v>
      </c>
      <c r="C42" s="30">
        <v>1.388888888888889E-2</v>
      </c>
    </row>
    <row r="44" spans="1:3" x14ac:dyDescent="0.3">
      <c r="C44" s="40">
        <f>SUM(C27:C43)</f>
        <v>0.29166666666666669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7"/>
  <sheetViews>
    <sheetView topLeftCell="XEH44" workbookViewId="0">
      <selection activeCell="XFD45" sqref="XFD45"/>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v>0.3923611111111111</v>
      </c>
      <c r="D2" s="9">
        <v>0.40416666666666667</v>
      </c>
      <c r="E2" s="9">
        <v>1.388888888888889E-2</v>
      </c>
      <c r="F2" s="10">
        <f t="shared" ref="F2:F21" si="1">D2-C2</f>
        <v>1.1805555555555569E-2</v>
      </c>
      <c r="G2" s="11"/>
      <c r="I2" s="44" t="s">
        <v>8</v>
      </c>
    </row>
    <row r="3" spans="1:9" x14ac:dyDescent="0.3">
      <c r="A3" s="6">
        <f t="shared" si="0"/>
        <v>2</v>
      </c>
      <c r="B3" s="13" t="s">
        <v>9</v>
      </c>
      <c r="C3" s="14">
        <v>0.40208333333333329</v>
      </c>
      <c r="D3" s="10">
        <v>0.40486111111111112</v>
      </c>
      <c r="E3" s="10">
        <v>1.7361111111111108E-2</v>
      </c>
      <c r="F3" s="10">
        <f t="shared" si="1"/>
        <v>2.7777777777778234E-3</v>
      </c>
      <c r="G3" s="11"/>
    </row>
    <row r="4" spans="1:9" x14ac:dyDescent="0.3">
      <c r="A4" s="6">
        <f t="shared" si="0"/>
        <v>3</v>
      </c>
      <c r="B4" s="15" t="s">
        <v>110</v>
      </c>
      <c r="C4" s="14">
        <v>0.40486111111111112</v>
      </c>
      <c r="D4" s="10"/>
      <c r="E4" s="10">
        <v>6.9444444444444441E-3</v>
      </c>
      <c r="F4" s="10">
        <f t="shared" si="1"/>
        <v>-0.40486111111111112</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-0.39027777777777772</v>
      </c>
      <c r="G22" s="25"/>
    </row>
    <row r="25" spans="1:7" ht="15.75" customHeight="1" thickBot="1" x14ac:dyDescent="0.35"/>
    <row r="26" spans="1:7" ht="15.75" customHeight="1" thickBot="1" x14ac:dyDescent="0.35">
      <c r="A26" s="26" t="s">
        <v>0</v>
      </c>
      <c r="B26" s="27" t="s">
        <v>1</v>
      </c>
      <c r="C26" s="26" t="s">
        <v>19</v>
      </c>
    </row>
    <row r="27" spans="1:7" x14ac:dyDescent="0.3">
      <c r="A27" s="28">
        <v>1</v>
      </c>
      <c r="B27" s="29" t="s">
        <v>40</v>
      </c>
      <c r="C27" s="30">
        <v>1.388888888888889E-2</v>
      </c>
    </row>
    <row r="28" spans="1:7" x14ac:dyDescent="0.3">
      <c r="A28" s="28">
        <v>2</v>
      </c>
      <c r="B28" s="29" t="s">
        <v>41</v>
      </c>
      <c r="C28" s="30">
        <v>6.9444444444444441E-3</v>
      </c>
    </row>
    <row r="29" spans="1:7" x14ac:dyDescent="0.3">
      <c r="A29" s="28">
        <v>3</v>
      </c>
      <c r="B29" s="29" t="s">
        <v>42</v>
      </c>
      <c r="C29" s="30">
        <v>1.388888888888889E-2</v>
      </c>
    </row>
    <row r="30" spans="1:7" x14ac:dyDescent="0.3">
      <c r="A30" s="28">
        <v>4</v>
      </c>
      <c r="B30" s="29" t="s">
        <v>55</v>
      </c>
      <c r="C30" s="30">
        <v>1.388888888888889E-2</v>
      </c>
    </row>
    <row r="31" spans="1:7" x14ac:dyDescent="0.3">
      <c r="A31" s="28">
        <v>5</v>
      </c>
      <c r="B31" s="29" t="s">
        <v>96</v>
      </c>
      <c r="C31" s="30">
        <v>1.388888888888889E-2</v>
      </c>
    </row>
    <row r="32" spans="1:7" x14ac:dyDescent="0.3">
      <c r="A32" s="28">
        <v>6</v>
      </c>
      <c r="B32" s="29" t="s">
        <v>45</v>
      </c>
      <c r="C32" s="30">
        <v>6.9444444444444441E-3</v>
      </c>
    </row>
    <row r="33" spans="1:3" x14ac:dyDescent="0.3">
      <c r="A33" s="28">
        <v>7</v>
      </c>
      <c r="B33" s="29" t="s">
        <v>46</v>
      </c>
      <c r="C33" s="30">
        <v>6.9444444444444441E-3</v>
      </c>
    </row>
    <row r="34" spans="1:3" x14ac:dyDescent="0.3">
      <c r="A34" s="28">
        <v>8</v>
      </c>
      <c r="B34" s="29" t="s">
        <v>102</v>
      </c>
      <c r="C34" s="30">
        <v>1.388888888888889E-2</v>
      </c>
    </row>
    <row r="35" spans="1:3" x14ac:dyDescent="0.3">
      <c r="A35" s="28">
        <v>9</v>
      </c>
      <c r="B35" s="29" t="s">
        <v>82</v>
      </c>
      <c r="C35" s="30">
        <v>1.7361111111111108E-2</v>
      </c>
    </row>
    <row r="36" spans="1:3" x14ac:dyDescent="0.3">
      <c r="A36" s="28">
        <v>10</v>
      </c>
      <c r="B36" s="29" t="s">
        <v>111</v>
      </c>
      <c r="C36" s="30">
        <v>1.041666666666667E-2</v>
      </c>
    </row>
    <row r="37" spans="1:3" x14ac:dyDescent="0.3">
      <c r="A37" s="28">
        <v>11</v>
      </c>
      <c r="B37" s="59" t="s">
        <v>112</v>
      </c>
      <c r="C37" s="30">
        <v>4.1666666666666657E-2</v>
      </c>
    </row>
    <row r="38" spans="1:3" x14ac:dyDescent="0.3">
      <c r="A38" s="28">
        <v>12</v>
      </c>
      <c r="B38" s="29" t="s">
        <v>69</v>
      </c>
      <c r="C38" s="30">
        <v>1.041666666666667E-2</v>
      </c>
    </row>
    <row r="39" spans="1:3" x14ac:dyDescent="0.3">
      <c r="A39" s="28">
        <v>13</v>
      </c>
      <c r="B39" s="29" t="s">
        <v>70</v>
      </c>
      <c r="C39" s="30">
        <v>1.041666666666667E-2</v>
      </c>
    </row>
    <row r="40" spans="1:3" x14ac:dyDescent="0.3">
      <c r="A40" s="28">
        <v>14</v>
      </c>
      <c r="B40" s="29" t="s">
        <v>83</v>
      </c>
      <c r="C40" s="30">
        <v>7.6388888888888895E-2</v>
      </c>
    </row>
    <row r="41" spans="1:3" x14ac:dyDescent="0.3">
      <c r="A41" s="28">
        <v>15</v>
      </c>
      <c r="B41" s="29" t="s">
        <v>73</v>
      </c>
      <c r="C41" s="30">
        <v>1.388888888888889E-2</v>
      </c>
    </row>
    <row r="42" spans="1:3" x14ac:dyDescent="0.3">
      <c r="A42" s="28">
        <v>16</v>
      </c>
      <c r="B42" s="29" t="s">
        <v>74</v>
      </c>
      <c r="C42" s="30">
        <v>1.388888888888889E-2</v>
      </c>
    </row>
    <row r="43" spans="1:3" x14ac:dyDescent="0.3">
      <c r="A43" s="28">
        <v>17</v>
      </c>
      <c r="B43" s="29" t="s">
        <v>75</v>
      </c>
      <c r="C43" s="30">
        <v>1.388888888888889E-2</v>
      </c>
    </row>
    <row r="44" spans="1:3" x14ac:dyDescent="0.3">
      <c r="A44" s="28">
        <v>18</v>
      </c>
      <c r="B44" s="29" t="s">
        <v>76</v>
      </c>
      <c r="C44" s="30">
        <v>1.388888888888889E-2</v>
      </c>
    </row>
    <row r="46" spans="1:3" x14ac:dyDescent="0.3">
      <c r="C46" s="40">
        <f>SUM(C27:C44)</f>
        <v>0.3125</v>
      </c>
    </row>
    <row r="47" spans="1:3" x14ac:dyDescent="0.3">
      <c r="C47" s="4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3"/>
  <sheetViews>
    <sheetView topLeftCell="A25" workbookViewId="0"/>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c r="D2" s="9"/>
      <c r="E2" s="9">
        <v>1.388888888888889E-2</v>
      </c>
      <c r="F2" s="10">
        <f t="shared" ref="F2:F21" si="1">D2-C2</f>
        <v>0</v>
      </c>
      <c r="G2" s="11"/>
      <c r="I2" s="12" t="s">
        <v>8</v>
      </c>
    </row>
    <row r="3" spans="1:9" x14ac:dyDescent="0.3">
      <c r="A3" s="6">
        <f t="shared" si="0"/>
        <v>2</v>
      </c>
      <c r="B3" s="13" t="s">
        <v>9</v>
      </c>
      <c r="C3" s="14"/>
      <c r="D3" s="10"/>
      <c r="E3" s="10">
        <v>1.7361111111111108E-2</v>
      </c>
      <c r="F3" s="10">
        <f t="shared" si="1"/>
        <v>0</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v>
      </c>
      <c r="G22" s="25"/>
    </row>
    <row r="25" spans="1:7" ht="15.75" customHeight="1" thickBot="1" x14ac:dyDescent="0.35"/>
    <row r="26" spans="1:7" ht="15.75" customHeight="1" thickBot="1" x14ac:dyDescent="0.35">
      <c r="A26" s="26" t="s">
        <v>0</v>
      </c>
      <c r="B26" s="27" t="s">
        <v>1</v>
      </c>
      <c r="C26" s="26" t="s">
        <v>19</v>
      </c>
    </row>
    <row r="27" spans="1:7" x14ac:dyDescent="0.3">
      <c r="A27" s="28">
        <v>1</v>
      </c>
      <c r="B27" s="29"/>
      <c r="C27" s="30"/>
    </row>
    <row r="28" spans="1:7" x14ac:dyDescent="0.3">
      <c r="A28" s="28">
        <v>2</v>
      </c>
      <c r="B28" s="29"/>
      <c r="C28" s="30"/>
    </row>
    <row r="29" spans="1:7" x14ac:dyDescent="0.3">
      <c r="A29" s="28">
        <v>3</v>
      </c>
      <c r="B29" s="29"/>
      <c r="C29" s="30"/>
    </row>
    <row r="30" spans="1:7" x14ac:dyDescent="0.3">
      <c r="A30" s="28">
        <v>4</v>
      </c>
      <c r="B30" s="29"/>
      <c r="C30" s="30"/>
    </row>
    <row r="31" spans="1:7" x14ac:dyDescent="0.3">
      <c r="A31" s="28">
        <v>5</v>
      </c>
      <c r="B31" s="29"/>
      <c r="C31" s="30"/>
    </row>
    <row r="32" spans="1:7" x14ac:dyDescent="0.3">
      <c r="A32" s="28">
        <v>6</v>
      </c>
      <c r="B32" s="29"/>
      <c r="C32" s="30"/>
    </row>
    <row r="33" spans="1:3" x14ac:dyDescent="0.3">
      <c r="A33" s="28">
        <v>7</v>
      </c>
      <c r="B33" s="29"/>
      <c r="C33" s="30"/>
    </row>
    <row r="34" spans="1:3" x14ac:dyDescent="0.3">
      <c r="A34" s="28">
        <v>8</v>
      </c>
      <c r="B34" s="29"/>
      <c r="C34" s="30"/>
    </row>
    <row r="35" spans="1:3" x14ac:dyDescent="0.3">
      <c r="A35" s="28">
        <v>9</v>
      </c>
      <c r="B35" s="29"/>
      <c r="C35" s="30"/>
    </row>
    <row r="36" spans="1:3" x14ac:dyDescent="0.3">
      <c r="A36" s="28">
        <v>10</v>
      </c>
      <c r="B36" s="29"/>
      <c r="C36" s="30"/>
    </row>
    <row r="37" spans="1:3" x14ac:dyDescent="0.3">
      <c r="A37" s="28">
        <v>11</v>
      </c>
      <c r="B37" s="29"/>
      <c r="C37" s="30"/>
    </row>
    <row r="38" spans="1:3" x14ac:dyDescent="0.3">
      <c r="A38" s="28">
        <v>12</v>
      </c>
      <c r="B38" s="29"/>
      <c r="C38" s="30"/>
    </row>
    <row r="39" spans="1:3" x14ac:dyDescent="0.3">
      <c r="A39" s="28">
        <v>13</v>
      </c>
      <c r="B39" s="29"/>
      <c r="C39" s="30"/>
    </row>
    <row r="40" spans="1:3" x14ac:dyDescent="0.3">
      <c r="A40" s="28">
        <v>14</v>
      </c>
      <c r="B40" s="29"/>
      <c r="C40" s="30"/>
    </row>
    <row r="41" spans="1:3" x14ac:dyDescent="0.3">
      <c r="A41" s="28">
        <v>15</v>
      </c>
      <c r="B41" s="29"/>
      <c r="C41" s="30"/>
    </row>
    <row r="42" spans="1:3" x14ac:dyDescent="0.3">
      <c r="A42" s="28">
        <v>16</v>
      </c>
      <c r="B42" s="29"/>
      <c r="C42" s="30"/>
    </row>
    <row r="43" spans="1:3" x14ac:dyDescent="0.3">
      <c r="A43" s="28">
        <v>17</v>
      </c>
      <c r="B43" s="29"/>
      <c r="C43" s="3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0"/>
  <sheetViews>
    <sheetView topLeftCell="A89" workbookViewId="0">
      <selection activeCell="B9" sqref="B9"/>
    </sheetView>
  </sheetViews>
  <sheetFormatPr defaultColWidth="56.109375" defaultRowHeight="14.4" x14ac:dyDescent="0.3"/>
  <cols>
    <col min="1" max="1" width="8" bestFit="1" customWidth="1"/>
    <col min="2" max="2" width="32.33203125" bestFit="1" customWidth="1"/>
    <col min="3" max="3" width="12.21875" bestFit="1" customWidth="1"/>
    <col min="4" max="4" width="11.88671875" bestFit="1" customWidth="1"/>
  </cols>
  <sheetData>
    <row r="1" spans="1:4" x14ac:dyDescent="0.3">
      <c r="A1" s="61" t="s">
        <v>113</v>
      </c>
      <c r="B1" s="61" t="s">
        <v>114</v>
      </c>
      <c r="C1" s="61" t="s">
        <v>115</v>
      </c>
      <c r="D1" s="61" t="s">
        <v>116</v>
      </c>
    </row>
    <row r="2" spans="1:4" x14ac:dyDescent="0.3">
      <c r="A2" s="31" t="s">
        <v>117</v>
      </c>
      <c r="B2" s="31" t="s">
        <v>118</v>
      </c>
      <c r="C2" s="31" t="s">
        <v>119</v>
      </c>
      <c r="D2" s="31" t="s">
        <v>120</v>
      </c>
    </row>
    <row r="3" spans="1:4" ht="28.8" customHeight="1" x14ac:dyDescent="0.3">
      <c r="A3" s="31" t="s">
        <v>121</v>
      </c>
      <c r="B3" s="31" t="s">
        <v>122</v>
      </c>
      <c r="C3" s="31" t="s">
        <v>123</v>
      </c>
      <c r="D3" t="s">
        <v>124</v>
      </c>
    </row>
    <row r="4" spans="1:4" x14ac:dyDescent="0.3">
      <c r="A4" s="31" t="s">
        <v>125</v>
      </c>
      <c r="B4" s="31" t="s">
        <v>126</v>
      </c>
      <c r="C4" s="31" t="s">
        <v>119</v>
      </c>
      <c r="D4" s="31" t="s">
        <v>120</v>
      </c>
    </row>
    <row r="5" spans="1:4" x14ac:dyDescent="0.3">
      <c r="A5" s="31" t="s">
        <v>127</v>
      </c>
      <c r="B5" s="31" t="s">
        <v>118</v>
      </c>
      <c r="C5" s="31" t="s">
        <v>123</v>
      </c>
      <c r="D5" s="31" t="s">
        <v>120</v>
      </c>
    </row>
    <row r="6" spans="1:4" ht="43.2" customHeight="1" x14ac:dyDescent="0.3">
      <c r="A6" s="31" t="s">
        <v>128</v>
      </c>
      <c r="B6" s="31" t="s">
        <v>126</v>
      </c>
      <c r="C6" s="31" t="s">
        <v>129</v>
      </c>
      <c r="D6" s="31" t="s">
        <v>130</v>
      </c>
    </row>
    <row r="7" spans="1:4" x14ac:dyDescent="0.3">
      <c r="A7" s="31" t="s">
        <v>131</v>
      </c>
      <c r="B7" s="31" t="s">
        <v>126</v>
      </c>
      <c r="C7" s="31" t="s">
        <v>132</v>
      </c>
      <c r="D7" s="31" t="s">
        <v>120</v>
      </c>
    </row>
    <row r="8" spans="1:4" x14ac:dyDescent="0.3">
      <c r="A8" s="31" t="s">
        <v>133</v>
      </c>
      <c r="B8" s="31" t="s">
        <v>126</v>
      </c>
      <c r="C8" s="31" t="s">
        <v>132</v>
      </c>
      <c r="D8" s="31" t="s">
        <v>120</v>
      </c>
    </row>
    <row r="9" spans="1:4" x14ac:dyDescent="0.3">
      <c r="A9" s="31" t="s">
        <v>134</v>
      </c>
      <c r="B9" s="31" t="s">
        <v>118</v>
      </c>
      <c r="C9" s="31" t="s">
        <v>135</v>
      </c>
      <c r="D9" s="31" t="s">
        <v>120</v>
      </c>
    </row>
    <row r="10" spans="1:4" x14ac:dyDescent="0.3">
      <c r="A10" s="31" t="s">
        <v>136</v>
      </c>
      <c r="B10" s="31" t="s">
        <v>126</v>
      </c>
      <c r="C10" s="31" t="s">
        <v>137</v>
      </c>
      <c r="D10" s="31" t="s">
        <v>120</v>
      </c>
    </row>
    <row r="11" spans="1:4" x14ac:dyDescent="0.3">
      <c r="A11" s="31" t="s">
        <v>138</v>
      </c>
      <c r="B11" s="31" t="s">
        <v>126</v>
      </c>
      <c r="C11" s="31" t="s">
        <v>139</v>
      </c>
      <c r="D11" s="31" t="s">
        <v>120</v>
      </c>
    </row>
    <row r="12" spans="1:4" x14ac:dyDescent="0.3">
      <c r="A12" s="31" t="s">
        <v>140</v>
      </c>
      <c r="B12" s="31" t="s">
        <v>126</v>
      </c>
      <c r="C12" s="31" t="s">
        <v>129</v>
      </c>
      <c r="D12" s="31" t="s">
        <v>120</v>
      </c>
    </row>
    <row r="13" spans="1:4" x14ac:dyDescent="0.3">
      <c r="A13" s="31" t="s">
        <v>141</v>
      </c>
      <c r="B13" s="31" t="s">
        <v>126</v>
      </c>
      <c r="C13" s="31" t="s">
        <v>139</v>
      </c>
      <c r="D13" s="31" t="s">
        <v>120</v>
      </c>
    </row>
    <row r="15" spans="1:4" x14ac:dyDescent="0.3">
      <c r="A15" s="61" t="s">
        <v>113</v>
      </c>
      <c r="B15" s="61" t="s">
        <v>142</v>
      </c>
      <c r="C15" s="61" t="s">
        <v>143</v>
      </c>
    </row>
    <row r="16" spans="1:4" ht="28.8" customHeight="1" x14ac:dyDescent="0.3">
      <c r="A16" s="31" t="s">
        <v>144</v>
      </c>
      <c r="B16" s="31" t="s">
        <v>145</v>
      </c>
      <c r="C16" s="31" t="s">
        <v>146</v>
      </c>
    </row>
    <row r="17" spans="1:3" ht="28.8" customHeight="1" x14ac:dyDescent="0.3">
      <c r="A17" s="31" t="s">
        <v>147</v>
      </c>
      <c r="B17" s="31" t="s">
        <v>148</v>
      </c>
      <c r="C17" s="31" t="s">
        <v>149</v>
      </c>
    </row>
    <row r="18" spans="1:3" ht="57.6" customHeight="1" x14ac:dyDescent="0.3">
      <c r="A18" s="31" t="s">
        <v>150</v>
      </c>
      <c r="B18" s="31" t="s">
        <v>151</v>
      </c>
      <c r="C18" s="31" t="s">
        <v>152</v>
      </c>
    </row>
    <row r="19" spans="1:3" ht="57.6" customHeight="1" x14ac:dyDescent="0.3">
      <c r="A19" s="31" t="s">
        <v>153</v>
      </c>
      <c r="B19" s="31" t="s">
        <v>154</v>
      </c>
      <c r="C19" s="31" t="s">
        <v>155</v>
      </c>
    </row>
    <row r="20" spans="1:3" ht="409.6" customHeight="1" x14ac:dyDescent="0.3">
      <c r="A20" s="31" t="s">
        <v>156</v>
      </c>
      <c r="B20" s="31" t="s">
        <v>157</v>
      </c>
      <c r="C20" s="50" t="s">
        <v>158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3"/>
  <sheetViews>
    <sheetView topLeftCell="A75" workbookViewId="0"/>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c r="D2" s="9"/>
      <c r="E2" s="9">
        <v>1.388888888888889E-2</v>
      </c>
      <c r="F2" s="10">
        <f t="shared" ref="F2:F21" si="1">D2-C2</f>
        <v>0</v>
      </c>
      <c r="G2" s="11"/>
      <c r="I2" s="12" t="s">
        <v>8</v>
      </c>
    </row>
    <row r="3" spans="1:9" x14ac:dyDescent="0.3">
      <c r="A3" s="6">
        <f t="shared" si="0"/>
        <v>2</v>
      </c>
      <c r="B3" s="13" t="s">
        <v>9</v>
      </c>
      <c r="C3" s="14"/>
      <c r="D3" s="10"/>
      <c r="E3" s="10">
        <v>1.7361111111111108E-2</v>
      </c>
      <c r="F3" s="10">
        <f t="shared" si="1"/>
        <v>0</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v>
      </c>
      <c r="G22" s="25"/>
    </row>
    <row r="25" spans="1:7" ht="15.75" customHeight="1" thickBot="1" x14ac:dyDescent="0.35"/>
    <row r="26" spans="1:7" ht="15.75" customHeight="1" thickBot="1" x14ac:dyDescent="0.35">
      <c r="A26" s="26" t="s">
        <v>0</v>
      </c>
      <c r="B26" s="27" t="s">
        <v>1</v>
      </c>
      <c r="C26" s="26" t="s">
        <v>19</v>
      </c>
    </row>
    <row r="27" spans="1:7" x14ac:dyDescent="0.3">
      <c r="A27" s="28">
        <v>1</v>
      </c>
      <c r="B27" s="29"/>
      <c r="C27" s="30"/>
    </row>
    <row r="28" spans="1:7" x14ac:dyDescent="0.3">
      <c r="A28" s="28">
        <v>2</v>
      </c>
      <c r="B28" s="29"/>
      <c r="C28" s="30"/>
    </row>
    <row r="29" spans="1:7" x14ac:dyDescent="0.3">
      <c r="A29" s="28">
        <v>3</v>
      </c>
      <c r="B29" s="29"/>
      <c r="C29" s="30"/>
    </row>
    <row r="30" spans="1:7" x14ac:dyDescent="0.3">
      <c r="A30" s="28">
        <v>4</v>
      </c>
      <c r="B30" s="29"/>
      <c r="C30" s="30"/>
    </row>
    <row r="31" spans="1:7" x14ac:dyDescent="0.3">
      <c r="A31" s="28">
        <v>5</v>
      </c>
      <c r="B31" s="29"/>
      <c r="C31" s="30"/>
    </row>
    <row r="32" spans="1:7" x14ac:dyDescent="0.3">
      <c r="A32" s="28">
        <v>6</v>
      </c>
      <c r="B32" s="29"/>
      <c r="C32" s="30"/>
    </row>
    <row r="33" spans="1:3" x14ac:dyDescent="0.3">
      <c r="A33" s="28">
        <v>7</v>
      </c>
      <c r="B33" s="29"/>
      <c r="C33" s="30"/>
    </row>
    <row r="34" spans="1:3" x14ac:dyDescent="0.3">
      <c r="A34" s="28">
        <v>8</v>
      </c>
      <c r="B34" s="29"/>
      <c r="C34" s="30"/>
    </row>
    <row r="35" spans="1:3" x14ac:dyDescent="0.3">
      <c r="A35" s="28">
        <v>9</v>
      </c>
      <c r="B35" s="29"/>
      <c r="C35" s="30"/>
    </row>
    <row r="36" spans="1:3" x14ac:dyDescent="0.3">
      <c r="A36" s="28">
        <v>10</v>
      </c>
      <c r="B36" s="29"/>
      <c r="C36" s="30"/>
    </row>
    <row r="37" spans="1:3" x14ac:dyDescent="0.3">
      <c r="A37" s="28">
        <v>11</v>
      </c>
      <c r="B37" s="29"/>
      <c r="C37" s="30"/>
    </row>
    <row r="38" spans="1:3" x14ac:dyDescent="0.3">
      <c r="A38" s="28">
        <v>12</v>
      </c>
      <c r="B38" s="29"/>
      <c r="C38" s="30"/>
    </row>
    <row r="39" spans="1:3" x14ac:dyDescent="0.3">
      <c r="A39" s="28">
        <v>13</v>
      </c>
      <c r="B39" s="29"/>
      <c r="C39" s="30"/>
    </row>
    <row r="40" spans="1:3" x14ac:dyDescent="0.3">
      <c r="A40" s="28">
        <v>14</v>
      </c>
      <c r="B40" s="29"/>
      <c r="C40" s="30"/>
    </row>
    <row r="41" spans="1:3" x14ac:dyDescent="0.3">
      <c r="A41" s="28">
        <v>15</v>
      </c>
      <c r="B41" s="29"/>
      <c r="C41" s="30"/>
    </row>
    <row r="42" spans="1:3" x14ac:dyDescent="0.3">
      <c r="A42" s="28">
        <v>16</v>
      </c>
      <c r="B42" s="29"/>
      <c r="C42" s="30"/>
    </row>
    <row r="43" spans="1:3" x14ac:dyDescent="0.3">
      <c r="A43" s="28">
        <v>17</v>
      </c>
      <c r="B43" s="29"/>
      <c r="C43" s="3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10"/>
  <sheetViews>
    <sheetView topLeftCell="A98" workbookViewId="0">
      <selection activeCell="B105" sqref="B105:B110"/>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 min="10" max="10" width="56.33203125" bestFit="1" customWidth="1"/>
  </cols>
  <sheetData>
    <row r="1" spans="1:11" ht="15.75" customHeight="1" thickBot="1" x14ac:dyDescent="0.35">
      <c r="A1" s="1" t="s">
        <v>0</v>
      </c>
      <c r="B1" s="2" t="s">
        <v>1</v>
      </c>
      <c r="C1" s="3" t="s">
        <v>2</v>
      </c>
      <c r="D1" s="4" t="s">
        <v>3</v>
      </c>
      <c r="E1" s="4" t="s">
        <v>4</v>
      </c>
      <c r="F1" s="5" t="s">
        <v>5</v>
      </c>
      <c r="G1" s="2" t="s">
        <v>6</v>
      </c>
    </row>
    <row r="2" spans="1:11" x14ac:dyDescent="0.3">
      <c r="A2" s="6">
        <f t="shared" ref="A2:A21" si="0">ROW() - ROW($A$1)</f>
        <v>1</v>
      </c>
      <c r="B2" s="7" t="s">
        <v>7</v>
      </c>
      <c r="C2" s="8">
        <v>0.43541666666666667</v>
      </c>
      <c r="D2" s="9"/>
      <c r="E2" s="9">
        <v>1.388888888888889E-2</v>
      </c>
      <c r="F2" s="10">
        <f t="shared" ref="F2:F21" si="1">D2-C2</f>
        <v>-0.43541666666666667</v>
      </c>
      <c r="G2" s="11"/>
      <c r="I2" s="63" t="s">
        <v>144</v>
      </c>
      <c r="J2" s="64" t="s">
        <v>8</v>
      </c>
      <c r="K2" s="65"/>
    </row>
    <row r="3" spans="1:11" ht="15" customHeight="1" thickBot="1" x14ac:dyDescent="0.35">
      <c r="A3" s="6">
        <f t="shared" si="0"/>
        <v>2</v>
      </c>
      <c r="B3" s="13" t="s">
        <v>7</v>
      </c>
      <c r="C3" s="14"/>
      <c r="D3" s="10">
        <v>0.46250000000000002</v>
      </c>
      <c r="E3" s="10">
        <v>1.7361111111111108E-2</v>
      </c>
      <c r="F3" s="10">
        <f t="shared" si="1"/>
        <v>0.46250000000000002</v>
      </c>
      <c r="G3" s="11"/>
      <c r="I3" s="66" t="s">
        <v>159</v>
      </c>
      <c r="J3" s="67" t="s">
        <v>8</v>
      </c>
      <c r="K3" s="65"/>
    </row>
    <row r="4" spans="1:11" x14ac:dyDescent="0.3">
      <c r="A4" s="6">
        <f t="shared" si="0"/>
        <v>3</v>
      </c>
      <c r="B4" s="13"/>
      <c r="C4" s="14"/>
      <c r="D4" s="10"/>
      <c r="E4" s="10">
        <v>6.9444444444444441E-3</v>
      </c>
      <c r="F4" s="10">
        <f t="shared" si="1"/>
        <v>0</v>
      </c>
      <c r="G4" s="11"/>
    </row>
    <row r="5" spans="1:11" x14ac:dyDescent="0.3">
      <c r="A5" s="6">
        <f t="shared" si="0"/>
        <v>4</v>
      </c>
      <c r="B5" s="13" t="s">
        <v>9</v>
      </c>
      <c r="C5" s="14"/>
      <c r="D5" s="10"/>
      <c r="E5" s="10">
        <v>4.1666666666666657E-2</v>
      </c>
      <c r="F5" s="10">
        <f t="shared" si="1"/>
        <v>0</v>
      </c>
      <c r="G5" s="11"/>
    </row>
    <row r="6" spans="1:11" x14ac:dyDescent="0.3">
      <c r="A6" s="6">
        <f t="shared" si="0"/>
        <v>5</v>
      </c>
      <c r="B6" s="15" t="s">
        <v>10</v>
      </c>
      <c r="C6" s="14"/>
      <c r="D6" s="10"/>
      <c r="E6" s="10"/>
      <c r="F6" s="10">
        <f t="shared" si="1"/>
        <v>0</v>
      </c>
      <c r="G6" s="11"/>
    </row>
    <row r="7" spans="1:11" x14ac:dyDescent="0.3">
      <c r="A7" s="6">
        <f t="shared" si="0"/>
        <v>6</v>
      </c>
      <c r="B7" s="13" t="s">
        <v>11</v>
      </c>
      <c r="C7" s="14"/>
      <c r="D7" s="10"/>
      <c r="E7" s="10"/>
      <c r="F7" s="10">
        <f t="shared" si="1"/>
        <v>0</v>
      </c>
      <c r="G7" s="11"/>
    </row>
    <row r="8" spans="1:11" x14ac:dyDescent="0.3">
      <c r="A8" s="6">
        <f t="shared" si="0"/>
        <v>7</v>
      </c>
      <c r="B8" s="16" t="s">
        <v>12</v>
      </c>
      <c r="C8" s="14"/>
      <c r="D8" s="10"/>
      <c r="E8" s="10"/>
      <c r="F8" s="14">
        <f t="shared" si="1"/>
        <v>0</v>
      </c>
      <c r="G8" s="11"/>
    </row>
    <row r="9" spans="1:11" x14ac:dyDescent="0.3">
      <c r="A9" s="6">
        <f t="shared" si="0"/>
        <v>8</v>
      </c>
      <c r="B9" s="13" t="s">
        <v>13</v>
      </c>
      <c r="C9" s="14"/>
      <c r="D9" s="10"/>
      <c r="E9" s="10"/>
      <c r="F9" s="10">
        <f t="shared" si="1"/>
        <v>0</v>
      </c>
      <c r="G9" s="11"/>
      <c r="J9" t="s">
        <v>160</v>
      </c>
    </row>
    <row r="10" spans="1:11" x14ac:dyDescent="0.3">
      <c r="A10" s="6">
        <f t="shared" si="0"/>
        <v>9</v>
      </c>
      <c r="B10" s="16"/>
      <c r="C10" s="14"/>
      <c r="D10" s="10"/>
      <c r="E10" s="10"/>
      <c r="F10" s="10">
        <f t="shared" si="1"/>
        <v>0</v>
      </c>
      <c r="G10" s="11"/>
      <c r="J10" t="s">
        <v>161</v>
      </c>
    </row>
    <row r="11" spans="1:11" x14ac:dyDescent="0.3">
      <c r="A11" s="6">
        <f t="shared" si="0"/>
        <v>10</v>
      </c>
      <c r="B11" s="16"/>
      <c r="C11" s="14"/>
      <c r="D11" s="17"/>
      <c r="E11" s="17"/>
      <c r="F11" s="10">
        <f t="shared" si="1"/>
        <v>0</v>
      </c>
      <c r="G11" s="11"/>
      <c r="J11" t="s">
        <v>162</v>
      </c>
    </row>
    <row r="12" spans="1:11" x14ac:dyDescent="0.3">
      <c r="A12" s="6">
        <f t="shared" si="0"/>
        <v>11</v>
      </c>
      <c r="B12" s="16"/>
      <c r="C12" s="14"/>
      <c r="D12" s="17"/>
      <c r="E12" s="17"/>
      <c r="F12" s="10">
        <f t="shared" si="1"/>
        <v>0</v>
      </c>
      <c r="G12" s="11"/>
      <c r="J12" s="60" t="s">
        <v>163</v>
      </c>
    </row>
    <row r="13" spans="1:11" x14ac:dyDescent="0.3">
      <c r="A13" s="6">
        <f t="shared" si="0"/>
        <v>12</v>
      </c>
      <c r="B13" s="16"/>
      <c r="C13" s="14"/>
      <c r="D13" s="17"/>
      <c r="E13" s="17"/>
      <c r="F13" s="10">
        <f t="shared" si="1"/>
        <v>0</v>
      </c>
      <c r="G13" s="11"/>
      <c r="J13" t="s">
        <v>164</v>
      </c>
    </row>
    <row r="14" spans="1:11" x14ac:dyDescent="0.3">
      <c r="A14" s="6">
        <f t="shared" si="0"/>
        <v>13</v>
      </c>
      <c r="B14" s="16"/>
      <c r="C14" s="14"/>
      <c r="D14" s="17"/>
      <c r="E14" s="17"/>
      <c r="F14" s="10">
        <f t="shared" si="1"/>
        <v>0</v>
      </c>
      <c r="G14" s="11"/>
      <c r="J14" t="s">
        <v>162</v>
      </c>
    </row>
    <row r="15" spans="1:11" x14ac:dyDescent="0.3">
      <c r="A15" s="6">
        <f t="shared" si="0"/>
        <v>14</v>
      </c>
      <c r="B15" s="16"/>
      <c r="C15" s="14"/>
      <c r="D15" s="17"/>
      <c r="E15" s="17"/>
      <c r="F15" s="10">
        <f t="shared" si="1"/>
        <v>0</v>
      </c>
      <c r="G15" s="11"/>
      <c r="J15" s="60" t="s">
        <v>163</v>
      </c>
    </row>
    <row r="16" spans="1:11"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2.7083333333333348E-2</v>
      </c>
      <c r="G22" s="25"/>
    </row>
    <row r="25" spans="1:7" ht="15.75" customHeight="1" thickBot="1" x14ac:dyDescent="0.35"/>
    <row r="26" spans="1:7" ht="15.75" customHeight="1" thickBot="1" x14ac:dyDescent="0.35">
      <c r="A26" s="26" t="s">
        <v>0</v>
      </c>
      <c r="B26" s="27" t="s">
        <v>1</v>
      </c>
      <c r="C26" s="26" t="s">
        <v>19</v>
      </c>
    </row>
    <row r="27" spans="1:7" x14ac:dyDescent="0.3">
      <c r="A27" s="28">
        <v>1</v>
      </c>
      <c r="B27" s="29"/>
      <c r="C27" s="30"/>
    </row>
    <row r="28" spans="1:7" x14ac:dyDescent="0.3">
      <c r="A28" s="28">
        <v>2</v>
      </c>
      <c r="B28" s="29"/>
      <c r="C28" s="30"/>
    </row>
    <row r="29" spans="1:7" x14ac:dyDescent="0.3">
      <c r="A29" s="28">
        <v>3</v>
      </c>
      <c r="B29" s="29"/>
      <c r="C29" s="30"/>
    </row>
    <row r="30" spans="1:7" x14ac:dyDescent="0.3">
      <c r="A30" s="28">
        <v>4</v>
      </c>
      <c r="B30" s="29"/>
      <c r="C30" s="30"/>
    </row>
    <row r="31" spans="1:7" x14ac:dyDescent="0.3">
      <c r="A31" s="28">
        <v>5</v>
      </c>
      <c r="B31" s="29"/>
      <c r="C31" s="30"/>
    </row>
    <row r="32" spans="1:7" x14ac:dyDescent="0.3">
      <c r="A32" s="28">
        <v>6</v>
      </c>
      <c r="B32" s="29"/>
      <c r="C32" s="30"/>
    </row>
    <row r="33" spans="1:3" x14ac:dyDescent="0.3">
      <c r="A33" s="28">
        <v>7</v>
      </c>
      <c r="B33" s="29"/>
      <c r="C33" s="30"/>
    </row>
    <row r="34" spans="1:3" x14ac:dyDescent="0.3">
      <c r="A34" s="28">
        <v>8</v>
      </c>
      <c r="B34" s="29"/>
      <c r="C34" s="30"/>
    </row>
    <row r="35" spans="1:3" x14ac:dyDescent="0.3">
      <c r="A35" s="28">
        <v>9</v>
      </c>
      <c r="B35" s="29"/>
      <c r="C35" s="30"/>
    </row>
    <row r="36" spans="1:3" x14ac:dyDescent="0.3">
      <c r="A36" s="28">
        <v>10</v>
      </c>
      <c r="B36" s="29"/>
      <c r="C36" s="30"/>
    </row>
    <row r="37" spans="1:3" x14ac:dyDescent="0.3">
      <c r="A37" s="28">
        <v>11</v>
      </c>
      <c r="B37" s="29"/>
      <c r="C37" s="30"/>
    </row>
    <row r="38" spans="1:3" x14ac:dyDescent="0.3">
      <c r="A38" s="28">
        <v>12</v>
      </c>
      <c r="B38" s="29"/>
      <c r="C38" s="30"/>
    </row>
    <row r="39" spans="1:3" x14ac:dyDescent="0.3">
      <c r="A39" s="28">
        <v>13</v>
      </c>
      <c r="B39" s="29"/>
      <c r="C39" s="30"/>
    </row>
    <row r="40" spans="1:3" x14ac:dyDescent="0.3">
      <c r="A40" s="28">
        <v>14</v>
      </c>
      <c r="B40" s="29"/>
      <c r="C40" s="30"/>
    </row>
    <row r="41" spans="1:3" x14ac:dyDescent="0.3">
      <c r="A41" s="28">
        <v>15</v>
      </c>
      <c r="B41" s="29"/>
      <c r="C41" s="30"/>
    </row>
    <row r="42" spans="1:3" x14ac:dyDescent="0.3">
      <c r="A42" s="28">
        <v>16</v>
      </c>
      <c r="B42" s="29"/>
      <c r="C42" s="30"/>
    </row>
    <row r="43" spans="1:3" x14ac:dyDescent="0.3">
      <c r="A43" s="28">
        <v>17</v>
      </c>
      <c r="B43" s="29"/>
      <c r="C43" s="30"/>
    </row>
    <row r="57" spans="1:4" x14ac:dyDescent="0.3">
      <c r="A57" s="62" t="s">
        <v>165</v>
      </c>
      <c r="B57" t="s">
        <v>166</v>
      </c>
      <c r="C57" t="s">
        <v>167</v>
      </c>
      <c r="D57" s="68"/>
    </row>
    <row r="58" spans="1:4" x14ac:dyDescent="0.3">
      <c r="A58" s="62" t="s">
        <v>165</v>
      </c>
      <c r="B58" t="s">
        <v>168</v>
      </c>
      <c r="C58" t="s">
        <v>169</v>
      </c>
      <c r="D58" s="68"/>
    </row>
    <row r="59" spans="1:4" x14ac:dyDescent="0.3">
      <c r="A59" s="62" t="s">
        <v>165</v>
      </c>
      <c r="B59" t="s">
        <v>170</v>
      </c>
      <c r="C59" t="s">
        <v>171</v>
      </c>
      <c r="D59" s="68"/>
    </row>
    <row r="60" spans="1:4" x14ac:dyDescent="0.3">
      <c r="A60" s="62" t="s">
        <v>165</v>
      </c>
      <c r="B60" t="s">
        <v>172</v>
      </c>
      <c r="C60" t="s">
        <v>173</v>
      </c>
      <c r="D60" s="68"/>
    </row>
    <row r="61" spans="1:4" x14ac:dyDescent="0.3">
      <c r="A61" s="62" t="s">
        <v>165</v>
      </c>
      <c r="B61" t="s">
        <v>174</v>
      </c>
      <c r="C61" t="s">
        <v>175</v>
      </c>
      <c r="D61" s="68"/>
    </row>
    <row r="62" spans="1:4" x14ac:dyDescent="0.3">
      <c r="A62" s="62" t="s">
        <v>165</v>
      </c>
      <c r="B62" t="s">
        <v>176</v>
      </c>
      <c r="C62" t="s">
        <v>177</v>
      </c>
      <c r="D62" s="68"/>
    </row>
    <row r="63" spans="1:4" x14ac:dyDescent="0.3">
      <c r="A63" s="62" t="s">
        <v>165</v>
      </c>
      <c r="B63" t="s">
        <v>178</v>
      </c>
      <c r="C63" t="s">
        <v>179</v>
      </c>
      <c r="D63" s="68"/>
    </row>
    <row r="64" spans="1:4" x14ac:dyDescent="0.3">
      <c r="A64" s="62" t="s">
        <v>165</v>
      </c>
      <c r="B64" t="s">
        <v>180</v>
      </c>
      <c r="C64" t="s">
        <v>181</v>
      </c>
      <c r="D64" s="68"/>
    </row>
    <row r="65" spans="1:4" x14ac:dyDescent="0.3">
      <c r="A65" s="62" t="s">
        <v>165</v>
      </c>
      <c r="B65" t="s">
        <v>182</v>
      </c>
      <c r="C65" t="s">
        <v>183</v>
      </c>
      <c r="D65" s="68"/>
    </row>
    <row r="66" spans="1:4" x14ac:dyDescent="0.3">
      <c r="A66" s="62" t="s">
        <v>165</v>
      </c>
      <c r="B66" t="s">
        <v>184</v>
      </c>
      <c r="C66" t="s">
        <v>185</v>
      </c>
      <c r="D66" s="68"/>
    </row>
    <row r="67" spans="1:4" x14ac:dyDescent="0.3">
      <c r="A67" s="62" t="s">
        <v>165</v>
      </c>
      <c r="B67" t="s">
        <v>186</v>
      </c>
      <c r="C67" t="s">
        <v>187</v>
      </c>
      <c r="D67" s="68"/>
    </row>
    <row r="68" spans="1:4" x14ac:dyDescent="0.3">
      <c r="A68" s="62" t="s">
        <v>165</v>
      </c>
      <c r="B68" t="s">
        <v>188</v>
      </c>
      <c r="C68" t="s">
        <v>189</v>
      </c>
      <c r="D68" s="68"/>
    </row>
    <row r="80" spans="1:4" x14ac:dyDescent="0.3">
      <c r="A80" s="62" t="s">
        <v>190</v>
      </c>
      <c r="B80" t="s">
        <v>167</v>
      </c>
    </row>
    <row r="81" spans="1:3" x14ac:dyDescent="0.3">
      <c r="A81" s="62" t="s">
        <v>190</v>
      </c>
      <c r="B81" t="s">
        <v>169</v>
      </c>
    </row>
    <row r="82" spans="1:3" x14ac:dyDescent="0.3">
      <c r="A82" s="62" t="s">
        <v>190</v>
      </c>
      <c r="B82" t="s">
        <v>171</v>
      </c>
    </row>
    <row r="83" spans="1:3" x14ac:dyDescent="0.3">
      <c r="A83" s="62" t="s">
        <v>190</v>
      </c>
      <c r="B83" t="s">
        <v>173</v>
      </c>
    </row>
    <row r="84" spans="1:3" x14ac:dyDescent="0.3">
      <c r="A84" s="62" t="s">
        <v>190</v>
      </c>
      <c r="B84" t="s">
        <v>175</v>
      </c>
    </row>
    <row r="85" spans="1:3" x14ac:dyDescent="0.3">
      <c r="A85" s="62" t="s">
        <v>190</v>
      </c>
      <c r="B85" t="s">
        <v>177</v>
      </c>
    </row>
    <row r="86" spans="1:3" x14ac:dyDescent="0.3">
      <c r="A86" s="62" t="s">
        <v>190</v>
      </c>
      <c r="B86" t="s">
        <v>179</v>
      </c>
    </row>
    <row r="87" spans="1:3" x14ac:dyDescent="0.3">
      <c r="A87" s="62" t="s">
        <v>190</v>
      </c>
      <c r="B87" t="s">
        <v>181</v>
      </c>
    </row>
    <row r="88" spans="1:3" x14ac:dyDescent="0.3">
      <c r="A88" s="62" t="s">
        <v>190</v>
      </c>
      <c r="B88" t="s">
        <v>183</v>
      </c>
    </row>
    <row r="89" spans="1:3" x14ac:dyDescent="0.3">
      <c r="A89" s="62" t="s">
        <v>190</v>
      </c>
      <c r="B89" t="s">
        <v>185</v>
      </c>
    </row>
    <row r="90" spans="1:3" x14ac:dyDescent="0.3">
      <c r="A90" s="62" t="s">
        <v>190</v>
      </c>
      <c r="B90" t="s">
        <v>187</v>
      </c>
    </row>
    <row r="91" spans="1:3" x14ac:dyDescent="0.3">
      <c r="A91" s="62" t="s">
        <v>190</v>
      </c>
      <c r="B91" t="s">
        <v>189</v>
      </c>
    </row>
    <row r="93" spans="1:3" x14ac:dyDescent="0.3">
      <c r="A93" t="s">
        <v>191</v>
      </c>
      <c r="B93" t="s">
        <v>192</v>
      </c>
    </row>
    <row r="94" spans="1:3" x14ac:dyDescent="0.3">
      <c r="A94" t="s">
        <v>191</v>
      </c>
      <c r="B94" t="s">
        <v>193</v>
      </c>
    </row>
    <row r="95" spans="1:3" x14ac:dyDescent="0.3">
      <c r="A95" t="s">
        <v>191</v>
      </c>
      <c r="B95" t="s">
        <v>194</v>
      </c>
    </row>
    <row r="96" spans="1:3" x14ac:dyDescent="0.3">
      <c r="A96" t="s">
        <v>195</v>
      </c>
      <c r="B96" t="s">
        <v>192</v>
      </c>
      <c r="C96" t="s">
        <v>196</v>
      </c>
    </row>
    <row r="97" spans="1:3" x14ac:dyDescent="0.3">
      <c r="A97" t="s">
        <v>195</v>
      </c>
      <c r="B97" t="s">
        <v>193</v>
      </c>
      <c r="C97" t="s">
        <v>196</v>
      </c>
    </row>
    <row r="98" spans="1:3" x14ac:dyDescent="0.3">
      <c r="A98" t="s">
        <v>195</v>
      </c>
      <c r="B98" t="s">
        <v>194</v>
      </c>
      <c r="C98" t="s">
        <v>196</v>
      </c>
    </row>
    <row r="101" spans="1:3" x14ac:dyDescent="0.3">
      <c r="B101" t="s">
        <v>160</v>
      </c>
    </row>
    <row r="105" spans="1:3" x14ac:dyDescent="0.3">
      <c r="B105" t="s">
        <v>161</v>
      </c>
    </row>
    <row r="106" spans="1:3" x14ac:dyDescent="0.3">
      <c r="B106" t="s">
        <v>162</v>
      </c>
    </row>
    <row r="107" spans="1:3" x14ac:dyDescent="0.3">
      <c r="B107" s="60" t="s">
        <v>163</v>
      </c>
    </row>
    <row r="108" spans="1:3" x14ac:dyDescent="0.3">
      <c r="B108" t="s">
        <v>164</v>
      </c>
    </row>
    <row r="109" spans="1:3" x14ac:dyDescent="0.3">
      <c r="B109" t="s">
        <v>162</v>
      </c>
    </row>
    <row r="110" spans="1:3" x14ac:dyDescent="0.3">
      <c r="B110" s="60" t="s">
        <v>163</v>
      </c>
    </row>
  </sheetData>
  <hyperlinks>
    <hyperlink ref="J12" r:id="rId1" xr:uid="{00000000-0004-0000-0F00-000000000000}"/>
    <hyperlink ref="J15" r:id="rId2" xr:uid="{00000000-0004-0000-0F00-000001000000}"/>
    <hyperlink ref="B107" r:id="rId3" xr:uid="{00000000-0004-0000-0F00-000002000000}"/>
    <hyperlink ref="B110" r:id="rId4" xr:uid="{00000000-0004-0000-0F00-000003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3"/>
  <sheetViews>
    <sheetView workbookViewId="0"/>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c r="D2" s="9"/>
      <c r="E2" s="9">
        <v>1.388888888888889E-2</v>
      </c>
      <c r="F2" s="10">
        <f t="shared" ref="F2:F21" si="1">D2-C2</f>
        <v>0</v>
      </c>
      <c r="G2" s="11"/>
      <c r="I2" s="12" t="s">
        <v>8</v>
      </c>
    </row>
    <row r="3" spans="1:9" x14ac:dyDescent="0.3">
      <c r="A3" s="6">
        <f t="shared" si="0"/>
        <v>2</v>
      </c>
      <c r="B3" s="13" t="s">
        <v>9</v>
      </c>
      <c r="C3" s="14"/>
      <c r="D3" s="10"/>
      <c r="E3" s="10">
        <v>1.7361111111111108E-2</v>
      </c>
      <c r="F3" s="10">
        <f t="shared" si="1"/>
        <v>0</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v>
      </c>
      <c r="G22" s="25"/>
    </row>
    <row r="25" spans="1:7" ht="15.75" customHeight="1" thickBot="1" x14ac:dyDescent="0.35"/>
    <row r="26" spans="1:7" ht="15.75" customHeight="1" thickBot="1" x14ac:dyDescent="0.35">
      <c r="A26" s="26" t="s">
        <v>0</v>
      </c>
      <c r="B26" s="27" t="s">
        <v>1</v>
      </c>
      <c r="C26" s="26" t="s">
        <v>19</v>
      </c>
    </row>
    <row r="27" spans="1:7" x14ac:dyDescent="0.3">
      <c r="A27" s="28">
        <v>1</v>
      </c>
      <c r="B27" s="29"/>
      <c r="C27" s="30"/>
    </row>
    <row r="28" spans="1:7" x14ac:dyDescent="0.3">
      <c r="A28" s="28">
        <v>2</v>
      </c>
      <c r="B28" s="29"/>
      <c r="C28" s="30"/>
    </row>
    <row r="29" spans="1:7" x14ac:dyDescent="0.3">
      <c r="A29" s="28">
        <v>3</v>
      </c>
      <c r="B29" s="29"/>
      <c r="C29" s="30"/>
    </row>
    <row r="30" spans="1:7" x14ac:dyDescent="0.3">
      <c r="A30" s="28">
        <v>4</v>
      </c>
      <c r="B30" s="29"/>
      <c r="C30" s="30"/>
    </row>
    <row r="31" spans="1:7" x14ac:dyDescent="0.3">
      <c r="A31" s="28">
        <v>5</v>
      </c>
      <c r="B31" s="29"/>
      <c r="C31" s="30"/>
    </row>
    <row r="32" spans="1:7" x14ac:dyDescent="0.3">
      <c r="A32" s="28">
        <v>6</v>
      </c>
      <c r="B32" s="29"/>
      <c r="C32" s="30"/>
    </row>
    <row r="33" spans="1:3" x14ac:dyDescent="0.3">
      <c r="A33" s="28">
        <v>7</v>
      </c>
      <c r="B33" s="29"/>
      <c r="C33" s="30"/>
    </row>
    <row r="34" spans="1:3" x14ac:dyDescent="0.3">
      <c r="A34" s="28">
        <v>8</v>
      </c>
      <c r="B34" s="29"/>
      <c r="C34" s="30"/>
    </row>
    <row r="35" spans="1:3" x14ac:dyDescent="0.3">
      <c r="A35" s="28">
        <v>9</v>
      </c>
      <c r="B35" s="29"/>
      <c r="C35" s="30"/>
    </row>
    <row r="36" spans="1:3" x14ac:dyDescent="0.3">
      <c r="A36" s="28">
        <v>10</v>
      </c>
      <c r="B36" s="29"/>
      <c r="C36" s="30"/>
    </row>
    <row r="37" spans="1:3" x14ac:dyDescent="0.3">
      <c r="A37" s="28">
        <v>11</v>
      </c>
      <c r="B37" s="29"/>
      <c r="C37" s="30"/>
    </row>
    <row r="38" spans="1:3" x14ac:dyDescent="0.3">
      <c r="A38" s="28">
        <v>12</v>
      </c>
      <c r="B38" s="29"/>
      <c r="C38" s="30"/>
    </row>
    <row r="39" spans="1:3" x14ac:dyDescent="0.3">
      <c r="A39" s="28">
        <v>13</v>
      </c>
      <c r="B39" s="29"/>
      <c r="C39" s="30"/>
    </row>
    <row r="40" spans="1:3" x14ac:dyDescent="0.3">
      <c r="A40" s="28">
        <v>14</v>
      </c>
      <c r="B40" s="29"/>
      <c r="C40" s="30"/>
    </row>
    <row r="41" spans="1:3" x14ac:dyDescent="0.3">
      <c r="A41" s="28">
        <v>15</v>
      </c>
      <c r="B41" s="29"/>
      <c r="C41" s="30"/>
    </row>
    <row r="42" spans="1:3" x14ac:dyDescent="0.3">
      <c r="A42" s="28">
        <v>16</v>
      </c>
      <c r="B42" s="29"/>
      <c r="C42" s="30"/>
    </row>
    <row r="43" spans="1:3" x14ac:dyDescent="0.3">
      <c r="A43" s="28">
        <v>17</v>
      </c>
      <c r="B43" s="29"/>
      <c r="C43" s="3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3"/>
  <sheetViews>
    <sheetView topLeftCell="A41" workbookViewId="0">
      <selection sqref="A1:XFD1048576"/>
    </sheetView>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c r="D2" s="9"/>
      <c r="E2" s="9">
        <v>1.388888888888889E-2</v>
      </c>
      <c r="F2" s="10">
        <f t="shared" ref="F2:F21" si="1">D2-C2</f>
        <v>0</v>
      </c>
      <c r="G2" s="11"/>
      <c r="I2" s="12" t="s">
        <v>8</v>
      </c>
    </row>
    <row r="3" spans="1:9" x14ac:dyDescent="0.3">
      <c r="A3" s="6">
        <f t="shared" si="0"/>
        <v>2</v>
      </c>
      <c r="B3" s="13" t="s">
        <v>9</v>
      </c>
      <c r="C3" s="14"/>
      <c r="D3" s="10"/>
      <c r="E3" s="10">
        <v>1.7361111111111108E-2</v>
      </c>
      <c r="F3" s="10">
        <f t="shared" si="1"/>
        <v>0</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v>
      </c>
      <c r="G22" s="25"/>
    </row>
    <row r="25" spans="1:7" ht="15.75" customHeight="1" thickBot="1" x14ac:dyDescent="0.35"/>
    <row r="26" spans="1:7" ht="15.75" customHeight="1" thickBot="1" x14ac:dyDescent="0.35">
      <c r="A26" s="26" t="s">
        <v>0</v>
      </c>
      <c r="B26" s="27" t="s">
        <v>1</v>
      </c>
      <c r="C26" s="26" t="s">
        <v>19</v>
      </c>
    </row>
    <row r="27" spans="1:7" x14ac:dyDescent="0.3">
      <c r="A27" s="28">
        <v>1</v>
      </c>
      <c r="B27" s="29"/>
      <c r="C27" s="30"/>
    </row>
    <row r="28" spans="1:7" x14ac:dyDescent="0.3">
      <c r="A28" s="28">
        <v>2</v>
      </c>
      <c r="B28" s="29"/>
      <c r="C28" s="30"/>
    </row>
    <row r="29" spans="1:7" x14ac:dyDescent="0.3">
      <c r="A29" s="28">
        <v>3</v>
      </c>
      <c r="B29" s="29"/>
      <c r="C29" s="30"/>
    </row>
    <row r="30" spans="1:7" x14ac:dyDescent="0.3">
      <c r="A30" s="28">
        <v>4</v>
      </c>
      <c r="B30" s="29"/>
      <c r="C30" s="30"/>
    </row>
    <row r="31" spans="1:7" x14ac:dyDescent="0.3">
      <c r="A31" s="28">
        <v>5</v>
      </c>
      <c r="B31" s="29"/>
      <c r="C31" s="30"/>
    </row>
    <row r="32" spans="1:7" x14ac:dyDescent="0.3">
      <c r="A32" s="28">
        <v>6</v>
      </c>
      <c r="B32" s="29"/>
      <c r="C32" s="30"/>
    </row>
    <row r="33" spans="1:3" x14ac:dyDescent="0.3">
      <c r="A33" s="28">
        <v>7</v>
      </c>
      <c r="B33" s="29"/>
      <c r="C33" s="30"/>
    </row>
    <row r="34" spans="1:3" x14ac:dyDescent="0.3">
      <c r="A34" s="28">
        <v>8</v>
      </c>
      <c r="B34" s="29"/>
      <c r="C34" s="30"/>
    </row>
    <row r="35" spans="1:3" x14ac:dyDescent="0.3">
      <c r="A35" s="28">
        <v>9</v>
      </c>
      <c r="B35" s="29"/>
      <c r="C35" s="30"/>
    </row>
    <row r="36" spans="1:3" x14ac:dyDescent="0.3">
      <c r="A36" s="28">
        <v>10</v>
      </c>
      <c r="B36" s="29"/>
      <c r="C36" s="30"/>
    </row>
    <row r="37" spans="1:3" x14ac:dyDescent="0.3">
      <c r="A37" s="28">
        <v>11</v>
      </c>
      <c r="B37" s="29"/>
      <c r="C37" s="30"/>
    </row>
    <row r="38" spans="1:3" x14ac:dyDescent="0.3">
      <c r="A38" s="28">
        <v>12</v>
      </c>
      <c r="B38" s="29"/>
      <c r="C38" s="30"/>
    </row>
    <row r="39" spans="1:3" x14ac:dyDescent="0.3">
      <c r="A39" s="28">
        <v>13</v>
      </c>
      <c r="B39" s="29"/>
      <c r="C39" s="30"/>
    </row>
    <row r="40" spans="1:3" x14ac:dyDescent="0.3">
      <c r="A40" s="28">
        <v>14</v>
      </c>
      <c r="B40" s="29"/>
      <c r="C40" s="30"/>
    </row>
    <row r="41" spans="1:3" x14ac:dyDescent="0.3">
      <c r="A41" s="28">
        <v>15</v>
      </c>
      <c r="B41" s="29"/>
      <c r="C41" s="30"/>
    </row>
    <row r="42" spans="1:3" x14ac:dyDescent="0.3">
      <c r="A42" s="28">
        <v>16</v>
      </c>
      <c r="B42" s="29"/>
      <c r="C42" s="30"/>
    </row>
    <row r="43" spans="1:3" x14ac:dyDescent="0.3">
      <c r="A43" s="28">
        <v>17</v>
      </c>
      <c r="B43" s="29"/>
      <c r="C43" s="3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38"/>
  <sheetViews>
    <sheetView topLeftCell="A203" workbookViewId="0">
      <selection activeCell="A223" sqref="A223"/>
    </sheetView>
  </sheetViews>
  <sheetFormatPr defaultColWidth="8.77734375" defaultRowHeight="14.4" x14ac:dyDescent="0.3"/>
  <cols>
    <col min="1" max="1" width="52.109375" bestFit="1" customWidth="1"/>
    <col min="2" max="2" width="23.6640625" bestFit="1" customWidth="1"/>
    <col min="3" max="3" width="15.5546875" bestFit="1" customWidth="1"/>
    <col min="5" max="5" width="24.21875" bestFit="1" customWidth="1"/>
  </cols>
  <sheetData>
    <row r="1" spans="1:5" x14ac:dyDescent="0.3">
      <c r="A1" s="54" t="s">
        <v>197</v>
      </c>
      <c r="B1" s="54" t="s">
        <v>198</v>
      </c>
      <c r="C1" t="s">
        <v>199</v>
      </c>
    </row>
    <row r="2" spans="1:5" x14ac:dyDescent="0.3">
      <c r="A2" s="54">
        <v>1</v>
      </c>
      <c r="B2" s="53">
        <v>45627</v>
      </c>
    </row>
    <row r="3" spans="1:5" x14ac:dyDescent="0.3">
      <c r="A3" s="54">
        <v>2</v>
      </c>
      <c r="B3" s="53">
        <v>45634</v>
      </c>
      <c r="C3" t="s">
        <v>200</v>
      </c>
    </row>
    <row r="4" spans="1:5" x14ac:dyDescent="0.3">
      <c r="A4" s="54">
        <v>3</v>
      </c>
      <c r="B4" s="53">
        <v>45641</v>
      </c>
      <c r="C4" t="s">
        <v>201</v>
      </c>
    </row>
    <row r="5" spans="1:5" x14ac:dyDescent="0.3">
      <c r="A5" s="54">
        <v>4</v>
      </c>
      <c r="B5" s="53">
        <v>45648</v>
      </c>
    </row>
    <row r="6" spans="1:5" x14ac:dyDescent="0.3">
      <c r="A6" s="54">
        <v>5</v>
      </c>
      <c r="B6" s="53">
        <v>45655</v>
      </c>
      <c r="C6" t="s">
        <v>202</v>
      </c>
    </row>
    <row r="7" spans="1:5" x14ac:dyDescent="0.3">
      <c r="A7" s="54">
        <v>6</v>
      </c>
      <c r="B7" s="53">
        <v>45662</v>
      </c>
      <c r="C7" t="s">
        <v>202</v>
      </c>
    </row>
    <row r="8" spans="1:5" x14ac:dyDescent="0.3">
      <c r="A8" s="54">
        <v>7</v>
      </c>
      <c r="B8" s="53">
        <v>45669</v>
      </c>
    </row>
    <row r="9" spans="1:5" x14ac:dyDescent="0.3">
      <c r="A9" s="54">
        <v>8</v>
      </c>
      <c r="B9" s="53">
        <v>45676</v>
      </c>
      <c r="C9" t="s">
        <v>137</v>
      </c>
      <c r="E9" s="52"/>
    </row>
    <row r="10" spans="1:5" x14ac:dyDescent="0.3">
      <c r="A10" s="54">
        <v>9</v>
      </c>
      <c r="B10" s="53">
        <v>45683</v>
      </c>
      <c r="C10" t="s">
        <v>203</v>
      </c>
      <c r="E10" s="52"/>
    </row>
    <row r="11" spans="1:5" x14ac:dyDescent="0.3">
      <c r="A11" s="54">
        <v>10</v>
      </c>
      <c r="B11" s="53">
        <v>45690</v>
      </c>
      <c r="C11" t="s">
        <v>204</v>
      </c>
      <c r="E11" s="52"/>
    </row>
    <row r="12" spans="1:5" x14ac:dyDescent="0.3">
      <c r="A12" s="54">
        <v>11</v>
      </c>
      <c r="B12" s="53">
        <v>45697</v>
      </c>
      <c r="C12" t="s">
        <v>203</v>
      </c>
      <c r="E12" s="52"/>
    </row>
    <row r="13" spans="1:5" x14ac:dyDescent="0.3">
      <c r="A13" s="54">
        <v>12</v>
      </c>
      <c r="B13" s="53">
        <v>45704</v>
      </c>
      <c r="C13" t="s">
        <v>204</v>
      </c>
      <c r="E13" s="52"/>
    </row>
    <row r="14" spans="1:5" x14ac:dyDescent="0.3">
      <c r="A14" s="54">
        <v>13</v>
      </c>
      <c r="B14" s="53">
        <v>45711</v>
      </c>
      <c r="C14" t="s">
        <v>205</v>
      </c>
      <c r="E14" s="52"/>
    </row>
    <row r="15" spans="1:5" x14ac:dyDescent="0.3">
      <c r="B15" s="52"/>
      <c r="E15" s="52"/>
    </row>
    <row r="16" spans="1:5" x14ac:dyDescent="0.3">
      <c r="B16" s="52"/>
      <c r="E16" s="52"/>
    </row>
    <row r="17" spans="2:5" x14ac:dyDescent="0.3">
      <c r="B17" s="52"/>
      <c r="E17" s="52"/>
    </row>
    <row r="18" spans="2:5" x14ac:dyDescent="0.3">
      <c r="E18" s="52"/>
    </row>
    <row r="19" spans="2:5" x14ac:dyDescent="0.3">
      <c r="E19" s="52"/>
    </row>
    <row r="20" spans="2:5" x14ac:dyDescent="0.3">
      <c r="E20" s="52"/>
    </row>
    <row r="21" spans="2:5" x14ac:dyDescent="0.3">
      <c r="E21" s="52"/>
    </row>
    <row r="22" spans="2:5" x14ac:dyDescent="0.3">
      <c r="E22" s="52"/>
    </row>
    <row r="23" spans="2:5" x14ac:dyDescent="0.3">
      <c r="E23" s="52"/>
    </row>
    <row r="24" spans="2:5" x14ac:dyDescent="0.3">
      <c r="E24" s="52"/>
    </row>
    <row r="25" spans="2:5" x14ac:dyDescent="0.3">
      <c r="E25" s="52"/>
    </row>
    <row r="26" spans="2:5" x14ac:dyDescent="0.3">
      <c r="E26" s="52"/>
    </row>
    <row r="27" spans="2:5" x14ac:dyDescent="0.3">
      <c r="B27" t="s">
        <v>206</v>
      </c>
      <c r="E27" s="52"/>
    </row>
    <row r="28" spans="2:5" x14ac:dyDescent="0.3">
      <c r="B28" t="s">
        <v>207</v>
      </c>
      <c r="E28" s="52"/>
    </row>
    <row r="29" spans="2:5" x14ac:dyDescent="0.3">
      <c r="E29" s="52"/>
    </row>
    <row r="30" spans="2:5" x14ac:dyDescent="0.3">
      <c r="B30" t="s">
        <v>160</v>
      </c>
      <c r="E30" s="52"/>
    </row>
    <row r="31" spans="2:5" x14ac:dyDescent="0.3">
      <c r="B31" t="s">
        <v>208</v>
      </c>
      <c r="E31" s="52"/>
    </row>
    <row r="32" spans="2:5" x14ac:dyDescent="0.3">
      <c r="B32" s="60" t="s">
        <v>209</v>
      </c>
      <c r="E32" s="52"/>
    </row>
    <row r="33" spans="2:5" x14ac:dyDescent="0.3">
      <c r="B33" t="s">
        <v>161</v>
      </c>
      <c r="E33" s="52"/>
    </row>
    <row r="34" spans="2:5" x14ac:dyDescent="0.3">
      <c r="B34" t="s">
        <v>162</v>
      </c>
      <c r="E34" s="52"/>
    </row>
    <row r="35" spans="2:5" x14ac:dyDescent="0.3">
      <c r="B35" s="60" t="s">
        <v>163</v>
      </c>
      <c r="E35" s="52"/>
    </row>
    <row r="36" spans="2:5" x14ac:dyDescent="0.3">
      <c r="B36" t="s">
        <v>164</v>
      </c>
      <c r="E36" s="52"/>
    </row>
    <row r="37" spans="2:5" x14ac:dyDescent="0.3">
      <c r="B37" t="s">
        <v>162</v>
      </c>
      <c r="E37" s="52"/>
    </row>
    <row r="38" spans="2:5" x14ac:dyDescent="0.3">
      <c r="B38" t="s">
        <v>163</v>
      </c>
      <c r="E38" s="52"/>
    </row>
    <row r="39" spans="2:5" x14ac:dyDescent="0.3">
      <c r="E39" s="52"/>
    </row>
    <row r="40" spans="2:5" x14ac:dyDescent="0.3">
      <c r="B40" t="s">
        <v>160</v>
      </c>
      <c r="E40" s="52"/>
    </row>
    <row r="41" spans="2:5" x14ac:dyDescent="0.3">
      <c r="B41" t="s">
        <v>208</v>
      </c>
      <c r="E41" s="52"/>
    </row>
    <row r="42" spans="2:5" x14ac:dyDescent="0.3">
      <c r="B42" t="s">
        <v>209</v>
      </c>
      <c r="E42" s="52"/>
    </row>
    <row r="43" spans="2:5" x14ac:dyDescent="0.3">
      <c r="B43" t="s">
        <v>161</v>
      </c>
      <c r="E43" s="52"/>
    </row>
    <row r="44" spans="2:5" x14ac:dyDescent="0.3">
      <c r="B44" t="s">
        <v>162</v>
      </c>
      <c r="E44" s="52"/>
    </row>
    <row r="45" spans="2:5" x14ac:dyDescent="0.3">
      <c r="B45" t="s">
        <v>163</v>
      </c>
      <c r="E45" s="52"/>
    </row>
    <row r="46" spans="2:5" x14ac:dyDescent="0.3">
      <c r="B46" t="s">
        <v>164</v>
      </c>
      <c r="E46" s="52"/>
    </row>
    <row r="47" spans="2:5" x14ac:dyDescent="0.3">
      <c r="B47" t="s">
        <v>162</v>
      </c>
      <c r="E47" s="52"/>
    </row>
    <row r="48" spans="2:5" x14ac:dyDescent="0.3">
      <c r="B48" t="s">
        <v>163</v>
      </c>
      <c r="E48" s="52"/>
    </row>
    <row r="49" spans="1:7" x14ac:dyDescent="0.3">
      <c r="E49" s="52"/>
    </row>
    <row r="50" spans="1:7" x14ac:dyDescent="0.3">
      <c r="E50" s="52"/>
    </row>
    <row r="51" spans="1:7" x14ac:dyDescent="0.3">
      <c r="E51" s="52"/>
    </row>
    <row r="52" spans="1:7" x14ac:dyDescent="0.3">
      <c r="E52" s="52"/>
    </row>
    <row r="53" spans="1:7" x14ac:dyDescent="0.3">
      <c r="E53" s="52"/>
    </row>
    <row r="54" spans="1:7" x14ac:dyDescent="0.3">
      <c r="B54" t="s">
        <v>160</v>
      </c>
      <c r="E54" s="52"/>
    </row>
    <row r="55" spans="1:7" x14ac:dyDescent="0.3">
      <c r="B55" t="s">
        <v>208</v>
      </c>
      <c r="E55" s="52"/>
    </row>
    <row r="56" spans="1:7" x14ac:dyDescent="0.3">
      <c r="B56" s="60" t="s">
        <v>209</v>
      </c>
      <c r="E56" s="52"/>
    </row>
    <row r="57" spans="1:7" x14ac:dyDescent="0.3">
      <c r="B57" t="s">
        <v>210</v>
      </c>
      <c r="E57" s="52"/>
    </row>
    <row r="58" spans="1:7" x14ac:dyDescent="0.3">
      <c r="B58" t="s">
        <v>162</v>
      </c>
      <c r="E58" s="52"/>
    </row>
    <row r="59" spans="1:7" x14ac:dyDescent="0.3">
      <c r="B59" s="60" t="s">
        <v>163</v>
      </c>
      <c r="E59" s="52"/>
    </row>
    <row r="60" spans="1:7" x14ac:dyDescent="0.3">
      <c r="B60" t="s">
        <v>211</v>
      </c>
      <c r="E60" s="52"/>
    </row>
    <row r="61" spans="1:7" x14ac:dyDescent="0.3">
      <c r="B61" t="s">
        <v>162</v>
      </c>
      <c r="E61" s="52"/>
    </row>
    <row r="62" spans="1:7" x14ac:dyDescent="0.3">
      <c r="B62" t="s">
        <v>163</v>
      </c>
      <c r="E62" s="52"/>
      <c r="G62">
        <f>24*7</f>
        <v>168</v>
      </c>
    </row>
    <row r="63" spans="1:7" x14ac:dyDescent="0.3">
      <c r="E63" s="52"/>
    </row>
    <row r="64" spans="1:7" x14ac:dyDescent="0.3">
      <c r="A64" t="s">
        <v>212</v>
      </c>
      <c r="E64" s="52"/>
    </row>
    <row r="65" spans="1:5" x14ac:dyDescent="0.3">
      <c r="A65" t="s">
        <v>213</v>
      </c>
      <c r="E65" s="52"/>
    </row>
    <row r="66" spans="1:5" x14ac:dyDescent="0.3">
      <c r="A66" t="s">
        <v>214</v>
      </c>
      <c r="E66" s="52"/>
    </row>
    <row r="67" spans="1:5" x14ac:dyDescent="0.3">
      <c r="E67" s="52"/>
    </row>
    <row r="68" spans="1:5" x14ac:dyDescent="0.3">
      <c r="E68" s="52"/>
    </row>
    <row r="69" spans="1:5" x14ac:dyDescent="0.3">
      <c r="E69" s="52"/>
    </row>
    <row r="70" spans="1:5" x14ac:dyDescent="0.3">
      <c r="A70" t="s">
        <v>215</v>
      </c>
      <c r="B70" t="s">
        <v>216</v>
      </c>
      <c r="C70" t="s">
        <v>212</v>
      </c>
      <c r="E70" s="52"/>
    </row>
    <row r="71" spans="1:5" x14ac:dyDescent="0.3">
      <c r="A71" t="s">
        <v>215</v>
      </c>
      <c r="B71" t="s">
        <v>217</v>
      </c>
      <c r="C71" t="s">
        <v>213</v>
      </c>
      <c r="E71" s="52"/>
    </row>
    <row r="72" spans="1:5" x14ac:dyDescent="0.3">
      <c r="A72" t="s">
        <v>215</v>
      </c>
      <c r="B72" t="s">
        <v>218</v>
      </c>
      <c r="C72" t="s">
        <v>214</v>
      </c>
      <c r="E72" s="52"/>
    </row>
    <row r="73" spans="1:5" x14ac:dyDescent="0.3">
      <c r="E73" s="52"/>
    </row>
    <row r="74" spans="1:5" x14ac:dyDescent="0.3">
      <c r="E74" s="52"/>
    </row>
    <row r="75" spans="1:5" x14ac:dyDescent="0.3">
      <c r="E75" s="52"/>
    </row>
    <row r="76" spans="1:5" x14ac:dyDescent="0.3">
      <c r="A76" s="62" t="s">
        <v>215</v>
      </c>
      <c r="B76" s="40" t="s">
        <v>216</v>
      </c>
      <c r="C76" s="52" t="s">
        <v>212</v>
      </c>
    </row>
    <row r="77" spans="1:5" x14ac:dyDescent="0.3">
      <c r="A77" s="62" t="s">
        <v>215</v>
      </c>
      <c r="B77" s="40" t="s">
        <v>219</v>
      </c>
      <c r="C77" s="52" t="s">
        <v>220</v>
      </c>
    </row>
    <row r="78" spans="1:5" x14ac:dyDescent="0.3">
      <c r="A78" s="62" t="s">
        <v>215</v>
      </c>
      <c r="B78" s="40" t="s">
        <v>217</v>
      </c>
      <c r="C78" t="s">
        <v>213</v>
      </c>
    </row>
    <row r="79" spans="1:5" x14ac:dyDescent="0.3">
      <c r="A79" s="62" t="s">
        <v>215</v>
      </c>
      <c r="B79" s="40" t="s">
        <v>221</v>
      </c>
      <c r="C79" t="s">
        <v>222</v>
      </c>
    </row>
    <row r="80" spans="1:5" x14ac:dyDescent="0.3">
      <c r="A80" s="62" t="s">
        <v>215</v>
      </c>
      <c r="B80" s="40" t="s">
        <v>223</v>
      </c>
      <c r="C80" t="s">
        <v>224</v>
      </c>
    </row>
    <row r="81" spans="1:3" x14ac:dyDescent="0.3">
      <c r="A81" s="62" t="s">
        <v>215</v>
      </c>
      <c r="B81" s="40" t="s">
        <v>218</v>
      </c>
      <c r="C81" t="s">
        <v>214</v>
      </c>
    </row>
    <row r="88" spans="1:3" x14ac:dyDescent="0.3">
      <c r="A88" t="s">
        <v>191</v>
      </c>
      <c r="B88" t="s">
        <v>225</v>
      </c>
    </row>
    <row r="89" spans="1:3" x14ac:dyDescent="0.3">
      <c r="A89" t="s">
        <v>191</v>
      </c>
      <c r="B89" t="s">
        <v>226</v>
      </c>
    </row>
    <row r="90" spans="1:3" x14ac:dyDescent="0.3">
      <c r="A90" t="s">
        <v>191</v>
      </c>
      <c r="B90" t="s">
        <v>227</v>
      </c>
    </row>
    <row r="91" spans="1:3" x14ac:dyDescent="0.3">
      <c r="A91" t="s">
        <v>191</v>
      </c>
      <c r="B91" t="s">
        <v>228</v>
      </c>
    </row>
    <row r="92" spans="1:3" x14ac:dyDescent="0.3">
      <c r="A92" t="s">
        <v>191</v>
      </c>
      <c r="B92" t="s">
        <v>229</v>
      </c>
    </row>
    <row r="93" spans="1:3" x14ac:dyDescent="0.3">
      <c r="A93" t="s">
        <v>191</v>
      </c>
      <c r="B93" t="s">
        <v>230</v>
      </c>
    </row>
    <row r="94" spans="1:3" x14ac:dyDescent="0.3">
      <c r="A94" t="s">
        <v>191</v>
      </c>
      <c r="B94" t="s">
        <v>231</v>
      </c>
    </row>
    <row r="95" spans="1:3" x14ac:dyDescent="0.3">
      <c r="A95" t="s">
        <v>191</v>
      </c>
      <c r="B95" t="s">
        <v>232</v>
      </c>
    </row>
    <row r="96" spans="1:3" x14ac:dyDescent="0.3">
      <c r="A96" t="s">
        <v>191</v>
      </c>
      <c r="B96" t="s">
        <v>233</v>
      </c>
    </row>
    <row r="99" spans="1:2" x14ac:dyDescent="0.3">
      <c r="A99" t="s">
        <v>160</v>
      </c>
    </row>
    <row r="100" spans="1:2" x14ac:dyDescent="0.3">
      <c r="A100" t="s">
        <v>208</v>
      </c>
    </row>
    <row r="101" spans="1:2" x14ac:dyDescent="0.3">
      <c r="A101" s="60" t="s">
        <v>209</v>
      </c>
    </row>
    <row r="102" spans="1:2" x14ac:dyDescent="0.3">
      <c r="A102" t="s">
        <v>210</v>
      </c>
    </row>
    <row r="103" spans="1:2" x14ac:dyDescent="0.3">
      <c r="A103" t="s">
        <v>162</v>
      </c>
    </row>
    <row r="104" spans="1:2" x14ac:dyDescent="0.3">
      <c r="A104" s="60" t="s">
        <v>163</v>
      </c>
    </row>
    <row r="105" spans="1:2" x14ac:dyDescent="0.3">
      <c r="A105" t="s">
        <v>211</v>
      </c>
    </row>
    <row r="106" spans="1:2" x14ac:dyDescent="0.3">
      <c r="A106" t="s">
        <v>162</v>
      </c>
    </row>
    <row r="107" spans="1:2" x14ac:dyDescent="0.3">
      <c r="A107" t="s">
        <v>163</v>
      </c>
    </row>
    <row r="111" spans="1:2" x14ac:dyDescent="0.3">
      <c r="A111" t="s">
        <v>234</v>
      </c>
      <c r="B111">
        <v>1</v>
      </c>
    </row>
    <row r="112" spans="1:2" x14ac:dyDescent="0.3">
      <c r="A112" t="s">
        <v>235</v>
      </c>
      <c r="B112">
        <v>1</v>
      </c>
    </row>
    <row r="113" spans="1:2" x14ac:dyDescent="0.3">
      <c r="A113" t="s">
        <v>211</v>
      </c>
      <c r="B113">
        <v>1</v>
      </c>
    </row>
    <row r="114" spans="1:2" x14ac:dyDescent="0.3">
      <c r="A114" t="s">
        <v>236</v>
      </c>
      <c r="B114">
        <v>2</v>
      </c>
    </row>
    <row r="115" spans="1:2" x14ac:dyDescent="0.3">
      <c r="A115" t="s">
        <v>237</v>
      </c>
      <c r="B115">
        <v>2</v>
      </c>
    </row>
    <row r="116" spans="1:2" x14ac:dyDescent="0.3">
      <c r="A116" t="s">
        <v>211</v>
      </c>
      <c r="B116">
        <v>2</v>
      </c>
    </row>
    <row r="117" spans="1:2" x14ac:dyDescent="0.3">
      <c r="A117" t="s">
        <v>238</v>
      </c>
      <c r="B117">
        <v>3</v>
      </c>
    </row>
    <row r="118" spans="1:2" x14ac:dyDescent="0.3">
      <c r="A118" t="s">
        <v>239</v>
      </c>
      <c r="B118">
        <v>3</v>
      </c>
    </row>
    <row r="119" spans="1:2" x14ac:dyDescent="0.3">
      <c r="A119" t="s">
        <v>211</v>
      </c>
      <c r="B119">
        <v>3</v>
      </c>
    </row>
    <row r="120" spans="1:2" x14ac:dyDescent="0.3">
      <c r="A120" t="s">
        <v>240</v>
      </c>
      <c r="B120">
        <v>4</v>
      </c>
    </row>
    <row r="121" spans="1:2" x14ac:dyDescent="0.3">
      <c r="A121" t="s">
        <v>241</v>
      </c>
      <c r="B121">
        <v>4</v>
      </c>
    </row>
    <row r="122" spans="1:2" x14ac:dyDescent="0.3">
      <c r="A122" t="s">
        <v>211</v>
      </c>
      <c r="B122">
        <v>4</v>
      </c>
    </row>
    <row r="123" spans="1:2" x14ac:dyDescent="0.3">
      <c r="A123" t="s">
        <v>242</v>
      </c>
      <c r="B123">
        <v>5</v>
      </c>
    </row>
    <row r="124" spans="1:2" x14ac:dyDescent="0.3">
      <c r="A124" t="s">
        <v>243</v>
      </c>
      <c r="B124">
        <v>5</v>
      </c>
    </row>
    <row r="125" spans="1:2" x14ac:dyDescent="0.3">
      <c r="A125" t="s">
        <v>211</v>
      </c>
      <c r="B125">
        <v>5</v>
      </c>
    </row>
    <row r="126" spans="1:2" x14ac:dyDescent="0.3">
      <c r="A126" t="s">
        <v>244</v>
      </c>
      <c r="B126">
        <v>6</v>
      </c>
    </row>
    <row r="127" spans="1:2" x14ac:dyDescent="0.3">
      <c r="A127" t="s">
        <v>245</v>
      </c>
      <c r="B127">
        <v>6</v>
      </c>
    </row>
    <row r="128" spans="1:2" x14ac:dyDescent="0.3">
      <c r="A128" t="s">
        <v>211</v>
      </c>
      <c r="B128">
        <v>6</v>
      </c>
    </row>
    <row r="129" spans="1:2" x14ac:dyDescent="0.3">
      <c r="A129" t="s">
        <v>246</v>
      </c>
      <c r="B129">
        <v>7</v>
      </c>
    </row>
    <row r="130" spans="1:2" x14ac:dyDescent="0.3">
      <c r="A130" t="s">
        <v>247</v>
      </c>
      <c r="B130">
        <v>7</v>
      </c>
    </row>
    <row r="131" spans="1:2" x14ac:dyDescent="0.3">
      <c r="A131" t="s">
        <v>211</v>
      </c>
      <c r="B131">
        <v>7</v>
      </c>
    </row>
    <row r="132" spans="1:2" x14ac:dyDescent="0.3">
      <c r="A132" t="s">
        <v>248</v>
      </c>
      <c r="B132">
        <v>8</v>
      </c>
    </row>
    <row r="133" spans="1:2" x14ac:dyDescent="0.3">
      <c r="A133" t="s">
        <v>249</v>
      </c>
      <c r="B133">
        <v>8</v>
      </c>
    </row>
    <row r="134" spans="1:2" x14ac:dyDescent="0.3">
      <c r="A134" t="s">
        <v>211</v>
      </c>
      <c r="B134">
        <v>8</v>
      </c>
    </row>
    <row r="135" spans="1:2" x14ac:dyDescent="0.3">
      <c r="A135" t="s">
        <v>250</v>
      </c>
      <c r="B135">
        <v>9</v>
      </c>
    </row>
    <row r="136" spans="1:2" x14ac:dyDescent="0.3">
      <c r="A136" t="s">
        <v>251</v>
      </c>
      <c r="B136">
        <v>9</v>
      </c>
    </row>
    <row r="137" spans="1:2" x14ac:dyDescent="0.3">
      <c r="A137" t="s">
        <v>211</v>
      </c>
      <c r="B137">
        <v>9</v>
      </c>
    </row>
    <row r="141" spans="1:2" x14ac:dyDescent="0.3">
      <c r="A141" t="s">
        <v>252</v>
      </c>
      <c r="B141">
        <v>1</v>
      </c>
    </row>
    <row r="142" spans="1:2" x14ac:dyDescent="0.3">
      <c r="A142" t="s">
        <v>253</v>
      </c>
      <c r="B142">
        <v>1</v>
      </c>
    </row>
    <row r="143" spans="1:2" x14ac:dyDescent="0.3">
      <c r="A143" t="s">
        <v>211</v>
      </c>
      <c r="B143">
        <v>1</v>
      </c>
    </row>
    <row r="144" spans="1:2" x14ac:dyDescent="0.3">
      <c r="A144" t="s">
        <v>254</v>
      </c>
      <c r="B144">
        <v>2</v>
      </c>
    </row>
    <row r="145" spans="1:2" x14ac:dyDescent="0.3">
      <c r="A145" t="s">
        <v>255</v>
      </c>
      <c r="B145">
        <v>2</v>
      </c>
    </row>
    <row r="146" spans="1:2" x14ac:dyDescent="0.3">
      <c r="A146" t="s">
        <v>211</v>
      </c>
      <c r="B146">
        <v>2</v>
      </c>
    </row>
    <row r="147" spans="1:2" x14ac:dyDescent="0.3">
      <c r="A147" t="s">
        <v>256</v>
      </c>
      <c r="B147">
        <v>3</v>
      </c>
    </row>
    <row r="148" spans="1:2" x14ac:dyDescent="0.3">
      <c r="A148" t="s">
        <v>257</v>
      </c>
      <c r="B148">
        <v>3</v>
      </c>
    </row>
    <row r="149" spans="1:2" x14ac:dyDescent="0.3">
      <c r="A149" t="s">
        <v>211</v>
      </c>
      <c r="B149">
        <v>3</v>
      </c>
    </row>
    <row r="150" spans="1:2" x14ac:dyDescent="0.3">
      <c r="A150" t="s">
        <v>258</v>
      </c>
      <c r="B150">
        <v>4</v>
      </c>
    </row>
    <row r="151" spans="1:2" x14ac:dyDescent="0.3">
      <c r="A151" t="s">
        <v>259</v>
      </c>
      <c r="B151">
        <v>4</v>
      </c>
    </row>
    <row r="152" spans="1:2" x14ac:dyDescent="0.3">
      <c r="A152" t="s">
        <v>211</v>
      </c>
      <c r="B152">
        <v>4</v>
      </c>
    </row>
    <row r="153" spans="1:2" x14ac:dyDescent="0.3">
      <c r="A153" s="62" t="s">
        <v>260</v>
      </c>
      <c r="B153">
        <v>5</v>
      </c>
    </row>
    <row r="154" spans="1:2" x14ac:dyDescent="0.3">
      <c r="A154" t="s">
        <v>261</v>
      </c>
      <c r="B154">
        <v>5</v>
      </c>
    </row>
    <row r="155" spans="1:2" x14ac:dyDescent="0.3">
      <c r="A155" t="s">
        <v>211</v>
      </c>
      <c r="B155">
        <v>5</v>
      </c>
    </row>
    <row r="156" spans="1:2" x14ac:dyDescent="0.3">
      <c r="A156" t="s">
        <v>262</v>
      </c>
      <c r="B156">
        <v>6</v>
      </c>
    </row>
    <row r="157" spans="1:2" x14ac:dyDescent="0.3">
      <c r="A157" t="s">
        <v>263</v>
      </c>
      <c r="B157">
        <v>6</v>
      </c>
    </row>
    <row r="158" spans="1:2" x14ac:dyDescent="0.3">
      <c r="A158" t="s">
        <v>211</v>
      </c>
      <c r="B158">
        <v>6</v>
      </c>
    </row>
    <row r="159" spans="1:2" x14ac:dyDescent="0.3">
      <c r="A159" t="s">
        <v>264</v>
      </c>
      <c r="B159">
        <v>7</v>
      </c>
    </row>
    <row r="160" spans="1:2" x14ac:dyDescent="0.3">
      <c r="A160" t="s">
        <v>265</v>
      </c>
      <c r="B160">
        <v>7</v>
      </c>
    </row>
    <row r="161" spans="1:2" x14ac:dyDescent="0.3">
      <c r="A161" t="s">
        <v>211</v>
      </c>
      <c r="B161">
        <v>7</v>
      </c>
    </row>
    <row r="162" spans="1:2" x14ac:dyDescent="0.3">
      <c r="A162" t="s">
        <v>266</v>
      </c>
      <c r="B162">
        <v>8</v>
      </c>
    </row>
    <row r="163" spans="1:2" x14ac:dyDescent="0.3">
      <c r="A163" t="s">
        <v>267</v>
      </c>
      <c r="B163">
        <v>8</v>
      </c>
    </row>
    <row r="164" spans="1:2" x14ac:dyDescent="0.3">
      <c r="A164" t="s">
        <v>211</v>
      </c>
      <c r="B164">
        <v>8</v>
      </c>
    </row>
    <row r="165" spans="1:2" x14ac:dyDescent="0.3">
      <c r="A165" t="s">
        <v>268</v>
      </c>
      <c r="B165">
        <v>9</v>
      </c>
    </row>
    <row r="166" spans="1:2" x14ac:dyDescent="0.3">
      <c r="A166" t="s">
        <v>269</v>
      </c>
      <c r="B166">
        <v>9</v>
      </c>
    </row>
    <row r="167" spans="1:2" x14ac:dyDescent="0.3">
      <c r="A167" t="s">
        <v>211</v>
      </c>
      <c r="B167">
        <v>9</v>
      </c>
    </row>
    <row r="169" spans="1:2" x14ac:dyDescent="0.3">
      <c r="A169" t="s">
        <v>160</v>
      </c>
      <c r="B169">
        <v>1</v>
      </c>
    </row>
    <row r="170" spans="1:2" x14ac:dyDescent="0.3">
      <c r="A170" t="s">
        <v>236</v>
      </c>
      <c r="B170">
        <v>1</v>
      </c>
    </row>
    <row r="171" spans="1:2" x14ac:dyDescent="0.3">
      <c r="A171" t="s">
        <v>237</v>
      </c>
      <c r="B171">
        <v>1</v>
      </c>
    </row>
    <row r="172" spans="1:2" x14ac:dyDescent="0.3">
      <c r="A172" t="s">
        <v>211</v>
      </c>
      <c r="B172">
        <v>1</v>
      </c>
    </row>
    <row r="173" spans="1:2" x14ac:dyDescent="0.3">
      <c r="A173" t="s">
        <v>211</v>
      </c>
      <c r="B173">
        <v>1</v>
      </c>
    </row>
    <row r="174" spans="1:2" x14ac:dyDescent="0.3">
      <c r="A174" t="s">
        <v>160</v>
      </c>
      <c r="B174">
        <v>2</v>
      </c>
    </row>
    <row r="175" spans="1:2" x14ac:dyDescent="0.3">
      <c r="A175" t="s">
        <v>238</v>
      </c>
      <c r="B175">
        <v>2</v>
      </c>
    </row>
    <row r="176" spans="1:2" x14ac:dyDescent="0.3">
      <c r="A176" t="s">
        <v>239</v>
      </c>
      <c r="B176">
        <v>2</v>
      </c>
    </row>
    <row r="177" spans="1:2" x14ac:dyDescent="0.3">
      <c r="A177" t="s">
        <v>210</v>
      </c>
      <c r="B177">
        <v>2</v>
      </c>
    </row>
    <row r="178" spans="1:2" x14ac:dyDescent="0.3">
      <c r="A178" t="s">
        <v>211</v>
      </c>
      <c r="B178">
        <v>2</v>
      </c>
    </row>
    <row r="179" spans="1:2" x14ac:dyDescent="0.3">
      <c r="A179" t="s">
        <v>160</v>
      </c>
      <c r="B179">
        <v>3</v>
      </c>
    </row>
    <row r="180" spans="1:2" x14ac:dyDescent="0.3">
      <c r="A180" t="s">
        <v>258</v>
      </c>
      <c r="B180">
        <v>3</v>
      </c>
    </row>
    <row r="181" spans="1:2" x14ac:dyDescent="0.3">
      <c r="A181" t="s">
        <v>259</v>
      </c>
      <c r="B181">
        <v>3</v>
      </c>
    </row>
    <row r="182" spans="1:2" x14ac:dyDescent="0.3">
      <c r="A182" t="s">
        <v>210</v>
      </c>
      <c r="B182">
        <v>3</v>
      </c>
    </row>
    <row r="183" spans="1:2" x14ac:dyDescent="0.3">
      <c r="A183" t="s">
        <v>211</v>
      </c>
      <c r="B183">
        <v>3</v>
      </c>
    </row>
    <row r="184" spans="1:2" x14ac:dyDescent="0.3">
      <c r="A184" t="s">
        <v>160</v>
      </c>
      <c r="B184">
        <v>4</v>
      </c>
    </row>
    <row r="185" spans="1:2" x14ac:dyDescent="0.3">
      <c r="A185" t="s">
        <v>260</v>
      </c>
      <c r="B185">
        <v>4</v>
      </c>
    </row>
    <row r="186" spans="1:2" x14ac:dyDescent="0.3">
      <c r="A186" t="s">
        <v>261</v>
      </c>
      <c r="B186">
        <v>4</v>
      </c>
    </row>
    <row r="187" spans="1:2" x14ac:dyDescent="0.3">
      <c r="A187" t="s">
        <v>210</v>
      </c>
      <c r="B187">
        <v>4</v>
      </c>
    </row>
    <row r="188" spans="1:2" x14ac:dyDescent="0.3">
      <c r="A188" t="s">
        <v>211</v>
      </c>
      <c r="B188">
        <v>4</v>
      </c>
    </row>
    <row r="189" spans="1:2" x14ac:dyDescent="0.3">
      <c r="A189" t="s">
        <v>160</v>
      </c>
      <c r="B189">
        <v>5</v>
      </c>
    </row>
    <row r="190" spans="1:2" x14ac:dyDescent="0.3">
      <c r="A190" t="s">
        <v>262</v>
      </c>
      <c r="B190">
        <v>5</v>
      </c>
    </row>
    <row r="191" spans="1:2" x14ac:dyDescent="0.3">
      <c r="A191" t="s">
        <v>263</v>
      </c>
      <c r="B191">
        <v>5</v>
      </c>
    </row>
    <row r="192" spans="1:2" x14ac:dyDescent="0.3">
      <c r="A192" t="s">
        <v>210</v>
      </c>
      <c r="B192">
        <v>5</v>
      </c>
    </row>
    <row r="193" spans="1:2" x14ac:dyDescent="0.3">
      <c r="A193" t="s">
        <v>211</v>
      </c>
      <c r="B193">
        <v>5</v>
      </c>
    </row>
    <row r="194" spans="1:2" x14ac:dyDescent="0.3">
      <c r="A194" t="s">
        <v>160</v>
      </c>
      <c r="B194">
        <v>6</v>
      </c>
    </row>
    <row r="195" spans="1:2" x14ac:dyDescent="0.3">
      <c r="A195" t="s">
        <v>264</v>
      </c>
      <c r="B195">
        <v>6</v>
      </c>
    </row>
    <row r="196" spans="1:2" x14ac:dyDescent="0.3">
      <c r="A196" t="s">
        <v>265</v>
      </c>
      <c r="B196">
        <v>6</v>
      </c>
    </row>
    <row r="197" spans="1:2" x14ac:dyDescent="0.3">
      <c r="A197" t="s">
        <v>210</v>
      </c>
      <c r="B197">
        <v>6</v>
      </c>
    </row>
    <row r="198" spans="1:2" x14ac:dyDescent="0.3">
      <c r="A198" t="s">
        <v>211</v>
      </c>
      <c r="B198">
        <v>6</v>
      </c>
    </row>
    <row r="199" spans="1:2" x14ac:dyDescent="0.3">
      <c r="A199" t="s">
        <v>160</v>
      </c>
      <c r="B199">
        <v>7</v>
      </c>
    </row>
    <row r="200" spans="1:2" x14ac:dyDescent="0.3">
      <c r="A200" t="s">
        <v>266</v>
      </c>
      <c r="B200">
        <v>7</v>
      </c>
    </row>
    <row r="201" spans="1:2" x14ac:dyDescent="0.3">
      <c r="A201" t="s">
        <v>267</v>
      </c>
      <c r="B201">
        <v>7</v>
      </c>
    </row>
    <row r="202" spans="1:2" x14ac:dyDescent="0.3">
      <c r="A202" t="s">
        <v>210</v>
      </c>
      <c r="B202">
        <v>7</v>
      </c>
    </row>
    <row r="203" spans="1:2" x14ac:dyDescent="0.3">
      <c r="A203" t="s">
        <v>211</v>
      </c>
      <c r="B203">
        <v>7</v>
      </c>
    </row>
    <row r="204" spans="1:2" x14ac:dyDescent="0.3">
      <c r="A204" t="s">
        <v>160</v>
      </c>
      <c r="B204">
        <v>8</v>
      </c>
    </row>
    <row r="205" spans="1:2" x14ac:dyDescent="0.3">
      <c r="A205" t="s">
        <v>268</v>
      </c>
      <c r="B205">
        <v>8</v>
      </c>
    </row>
    <row r="206" spans="1:2" x14ac:dyDescent="0.3">
      <c r="A206" t="s">
        <v>269</v>
      </c>
      <c r="B206">
        <v>8</v>
      </c>
    </row>
    <row r="207" spans="1:2" x14ac:dyDescent="0.3">
      <c r="A207" t="s">
        <v>210</v>
      </c>
      <c r="B207">
        <v>8</v>
      </c>
    </row>
    <row r="208" spans="1:2" x14ac:dyDescent="0.3">
      <c r="A208" t="s">
        <v>211</v>
      </c>
      <c r="B208">
        <v>8</v>
      </c>
    </row>
    <row r="209" spans="1:2" x14ac:dyDescent="0.3">
      <c r="A209" t="s">
        <v>160</v>
      </c>
      <c r="B209">
        <v>9</v>
      </c>
    </row>
    <row r="210" spans="1:2" x14ac:dyDescent="0.3">
      <c r="A210" t="s">
        <v>240</v>
      </c>
      <c r="B210">
        <v>9</v>
      </c>
    </row>
    <row r="211" spans="1:2" x14ac:dyDescent="0.3">
      <c r="A211" t="s">
        <v>241</v>
      </c>
      <c r="B211">
        <v>9</v>
      </c>
    </row>
    <row r="212" spans="1:2" x14ac:dyDescent="0.3">
      <c r="A212" t="s">
        <v>210</v>
      </c>
      <c r="B212">
        <v>9</v>
      </c>
    </row>
    <row r="213" spans="1:2" x14ac:dyDescent="0.3">
      <c r="A213" t="s">
        <v>211</v>
      </c>
      <c r="B213">
        <v>9</v>
      </c>
    </row>
    <row r="214" spans="1:2" x14ac:dyDescent="0.3">
      <c r="A214" t="s">
        <v>160</v>
      </c>
      <c r="B214">
        <v>10</v>
      </c>
    </row>
    <row r="215" spans="1:2" x14ac:dyDescent="0.3">
      <c r="A215" t="s">
        <v>242</v>
      </c>
      <c r="B215">
        <v>10</v>
      </c>
    </row>
    <row r="216" spans="1:2" x14ac:dyDescent="0.3">
      <c r="A216" t="s">
        <v>243</v>
      </c>
      <c r="B216">
        <v>10</v>
      </c>
    </row>
    <row r="217" spans="1:2" x14ac:dyDescent="0.3">
      <c r="A217" t="s">
        <v>210</v>
      </c>
      <c r="B217">
        <v>10</v>
      </c>
    </row>
    <row r="218" spans="1:2" x14ac:dyDescent="0.3">
      <c r="A218" t="s">
        <v>211</v>
      </c>
      <c r="B218">
        <v>10</v>
      </c>
    </row>
    <row r="219" spans="1:2" x14ac:dyDescent="0.3">
      <c r="A219" t="s">
        <v>160</v>
      </c>
      <c r="B219">
        <v>11</v>
      </c>
    </row>
    <row r="220" spans="1:2" x14ac:dyDescent="0.3">
      <c r="A220" t="s">
        <v>244</v>
      </c>
      <c r="B220">
        <v>11</v>
      </c>
    </row>
    <row r="221" spans="1:2" x14ac:dyDescent="0.3">
      <c r="A221" t="s">
        <v>245</v>
      </c>
      <c r="B221">
        <v>11</v>
      </c>
    </row>
    <row r="222" spans="1:2" x14ac:dyDescent="0.3">
      <c r="A222" t="s">
        <v>210</v>
      </c>
      <c r="B222">
        <v>11</v>
      </c>
    </row>
    <row r="223" spans="1:2" x14ac:dyDescent="0.3">
      <c r="A223" t="s">
        <v>211</v>
      </c>
      <c r="B223">
        <v>11</v>
      </c>
    </row>
    <row r="224" spans="1:2" x14ac:dyDescent="0.3">
      <c r="A224" t="s">
        <v>160</v>
      </c>
      <c r="B224">
        <v>12</v>
      </c>
    </row>
    <row r="225" spans="1:2" x14ac:dyDescent="0.3">
      <c r="A225" t="s">
        <v>246</v>
      </c>
      <c r="B225">
        <v>12</v>
      </c>
    </row>
    <row r="226" spans="1:2" x14ac:dyDescent="0.3">
      <c r="A226" t="s">
        <v>247</v>
      </c>
      <c r="B226">
        <v>12</v>
      </c>
    </row>
    <row r="227" spans="1:2" x14ac:dyDescent="0.3">
      <c r="A227" t="s">
        <v>210</v>
      </c>
      <c r="B227">
        <v>12</v>
      </c>
    </row>
    <row r="228" spans="1:2" x14ac:dyDescent="0.3">
      <c r="A228" t="s">
        <v>211</v>
      </c>
      <c r="B228">
        <v>12</v>
      </c>
    </row>
    <row r="229" spans="1:2" x14ac:dyDescent="0.3">
      <c r="A229" t="s">
        <v>160</v>
      </c>
      <c r="B229">
        <v>13</v>
      </c>
    </row>
    <row r="230" spans="1:2" x14ac:dyDescent="0.3">
      <c r="A230" t="s">
        <v>248</v>
      </c>
      <c r="B230">
        <v>13</v>
      </c>
    </row>
    <row r="231" spans="1:2" x14ac:dyDescent="0.3">
      <c r="A231" t="s">
        <v>249</v>
      </c>
      <c r="B231">
        <v>13</v>
      </c>
    </row>
    <row r="232" spans="1:2" x14ac:dyDescent="0.3">
      <c r="A232" t="s">
        <v>210</v>
      </c>
      <c r="B232">
        <v>13</v>
      </c>
    </row>
    <row r="233" spans="1:2" x14ac:dyDescent="0.3">
      <c r="A233" t="s">
        <v>211</v>
      </c>
      <c r="B233">
        <v>13</v>
      </c>
    </row>
    <row r="234" spans="1:2" x14ac:dyDescent="0.3">
      <c r="A234" t="s">
        <v>160</v>
      </c>
      <c r="B234">
        <v>14</v>
      </c>
    </row>
    <row r="235" spans="1:2" x14ac:dyDescent="0.3">
      <c r="A235" t="s">
        <v>250</v>
      </c>
      <c r="B235">
        <v>14</v>
      </c>
    </row>
    <row r="236" spans="1:2" x14ac:dyDescent="0.3">
      <c r="A236" t="s">
        <v>251</v>
      </c>
      <c r="B236">
        <v>14</v>
      </c>
    </row>
    <row r="237" spans="1:2" x14ac:dyDescent="0.3">
      <c r="A237" t="s">
        <v>210</v>
      </c>
      <c r="B237">
        <v>14</v>
      </c>
    </row>
    <row r="238" spans="1:2" x14ac:dyDescent="0.3">
      <c r="A238" t="s">
        <v>211</v>
      </c>
      <c r="B238">
        <v>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56"/>
  <sheetViews>
    <sheetView workbookViewId="0">
      <selection activeCell="C52" sqref="C52"/>
    </sheetView>
  </sheetViews>
  <sheetFormatPr defaultColWidth="150.5546875" defaultRowHeight="14.4" x14ac:dyDescent="0.3"/>
  <cols>
    <col min="1" max="1" width="84.88671875" bestFit="1" customWidth="1"/>
    <col min="2" max="2" width="13.88671875" customWidth="1"/>
    <col min="3" max="3" width="74" bestFit="1" customWidth="1"/>
  </cols>
  <sheetData>
    <row r="1" spans="1:3" x14ac:dyDescent="0.3">
      <c r="A1" s="33" t="s">
        <v>270</v>
      </c>
      <c r="B1" s="31"/>
      <c r="C1" s="33" t="s">
        <v>270</v>
      </c>
    </row>
    <row r="2" spans="1:3" x14ac:dyDescent="0.3">
      <c r="A2" s="34" t="s">
        <v>271</v>
      </c>
      <c r="B2" s="31"/>
      <c r="C2" s="34" t="s">
        <v>272</v>
      </c>
    </row>
    <row r="3" spans="1:3" x14ac:dyDescent="0.3">
      <c r="A3" s="34" t="s">
        <v>273</v>
      </c>
      <c r="B3" s="31"/>
      <c r="C3" s="34" t="s">
        <v>273</v>
      </c>
    </row>
    <row r="4" spans="1:3" x14ac:dyDescent="0.3">
      <c r="A4" s="34" t="s">
        <v>274</v>
      </c>
      <c r="B4" s="31"/>
      <c r="C4" s="34" t="s">
        <v>274</v>
      </c>
    </row>
    <row r="5" spans="1:3" ht="15" customHeight="1" thickBot="1" x14ac:dyDescent="0.35">
      <c r="A5" s="35" t="s">
        <v>275</v>
      </c>
      <c r="B5" s="31"/>
      <c r="C5" s="35" t="s">
        <v>275</v>
      </c>
    </row>
    <row r="7" spans="1:3" ht="15" customHeight="1" thickBot="1" x14ac:dyDescent="0.35"/>
    <row r="8" spans="1:3" x14ac:dyDescent="0.3">
      <c r="C8" s="47" t="s">
        <v>276</v>
      </c>
    </row>
    <row r="9" spans="1:3" x14ac:dyDescent="0.3">
      <c r="C9" s="48" t="s">
        <v>272</v>
      </c>
    </row>
    <row r="10" spans="1:3" x14ac:dyDescent="0.3">
      <c r="C10" s="48" t="s">
        <v>277</v>
      </c>
    </row>
    <row r="11" spans="1:3" ht="16.95" customHeight="1" x14ac:dyDescent="0.4">
      <c r="A11" s="32" t="s">
        <v>278</v>
      </c>
      <c r="C11" s="48" t="s">
        <v>279</v>
      </c>
    </row>
    <row r="12" spans="1:3" ht="15" customHeight="1" thickBot="1" x14ac:dyDescent="0.35">
      <c r="A12" t="s">
        <v>280</v>
      </c>
      <c r="C12" s="49" t="s">
        <v>281</v>
      </c>
    </row>
    <row r="13" spans="1:3" ht="15" customHeight="1" thickBot="1" x14ac:dyDescent="0.35">
      <c r="A13" t="s">
        <v>282</v>
      </c>
    </row>
    <row r="14" spans="1:3" x14ac:dyDescent="0.3">
      <c r="A14" t="s">
        <v>283</v>
      </c>
      <c r="C14" s="47" t="s">
        <v>284</v>
      </c>
    </row>
    <row r="15" spans="1:3" x14ac:dyDescent="0.3">
      <c r="A15" t="s">
        <v>285</v>
      </c>
      <c r="C15" s="48" t="s">
        <v>272</v>
      </c>
    </row>
    <row r="16" spans="1:3" x14ac:dyDescent="0.3">
      <c r="A16" t="s">
        <v>286</v>
      </c>
      <c r="C16" s="48" t="s">
        <v>277</v>
      </c>
    </row>
    <row r="17" spans="1:9" x14ac:dyDescent="0.3">
      <c r="A17" t="s">
        <v>287</v>
      </c>
      <c r="C17" s="48" t="s">
        <v>279</v>
      </c>
    </row>
    <row r="18" spans="1:9" ht="15" customHeight="1" thickBot="1" x14ac:dyDescent="0.35">
      <c r="A18" t="s">
        <v>288</v>
      </c>
      <c r="C18" s="49" t="s">
        <v>281</v>
      </c>
    </row>
    <row r="20" spans="1:9" x14ac:dyDescent="0.3">
      <c r="C20" s="36"/>
      <c r="D20" s="37"/>
      <c r="E20" s="38"/>
      <c r="F20" s="38"/>
      <c r="G20" s="46"/>
      <c r="H20" s="38"/>
      <c r="I20" s="39"/>
    </row>
    <row r="21" spans="1:9" ht="15" customHeight="1" thickBot="1" x14ac:dyDescent="0.35"/>
    <row r="22" spans="1:9" x14ac:dyDescent="0.3">
      <c r="C22" s="47" t="s">
        <v>289</v>
      </c>
    </row>
    <row r="23" spans="1:9" x14ac:dyDescent="0.3">
      <c r="C23" s="48" t="s">
        <v>290</v>
      </c>
    </row>
    <row r="24" spans="1:9" ht="15" customHeight="1" thickBot="1" x14ac:dyDescent="0.35">
      <c r="C24" s="48" t="s">
        <v>291</v>
      </c>
    </row>
    <row r="25" spans="1:9" x14ac:dyDescent="0.3">
      <c r="A25" s="33" t="s">
        <v>292</v>
      </c>
      <c r="C25" s="48" t="s">
        <v>293</v>
      </c>
    </row>
    <row r="26" spans="1:9" ht="15" customHeight="1" thickBot="1" x14ac:dyDescent="0.35">
      <c r="A26" s="34" t="s">
        <v>294</v>
      </c>
      <c r="C26" s="49" t="s">
        <v>295</v>
      </c>
    </row>
    <row r="27" spans="1:9" ht="15" customHeight="1" thickBot="1" x14ac:dyDescent="0.35">
      <c r="A27" s="34" t="s">
        <v>296</v>
      </c>
    </row>
    <row r="28" spans="1:9" x14ac:dyDescent="0.3">
      <c r="A28" s="34" t="s">
        <v>297</v>
      </c>
      <c r="C28" s="47" t="s">
        <v>289</v>
      </c>
    </row>
    <row r="29" spans="1:9" ht="15" customHeight="1" thickBot="1" x14ac:dyDescent="0.35">
      <c r="A29" s="35" t="s">
        <v>298</v>
      </c>
      <c r="C29" s="48" t="s">
        <v>290</v>
      </c>
    </row>
    <row r="30" spans="1:9" x14ac:dyDescent="0.3">
      <c r="C30" s="48" t="s">
        <v>291</v>
      </c>
    </row>
    <row r="31" spans="1:9" ht="15" customHeight="1" thickBot="1" x14ac:dyDescent="0.35">
      <c r="C31" s="48" t="s">
        <v>293</v>
      </c>
    </row>
    <row r="32" spans="1:9" ht="15" customHeight="1" thickBot="1" x14ac:dyDescent="0.35">
      <c r="A32" s="33" t="s">
        <v>299</v>
      </c>
      <c r="C32" s="49" t="s">
        <v>295</v>
      </c>
    </row>
    <row r="33" spans="1:3" x14ac:dyDescent="0.3">
      <c r="A33" s="34" t="s">
        <v>294</v>
      </c>
    </row>
    <row r="34" spans="1:3" x14ac:dyDescent="0.3">
      <c r="A34" s="34" t="s">
        <v>296</v>
      </c>
    </row>
    <row r="35" spans="1:3" x14ac:dyDescent="0.3">
      <c r="A35" s="34" t="s">
        <v>300</v>
      </c>
    </row>
    <row r="36" spans="1:3" ht="15" customHeight="1" thickBot="1" x14ac:dyDescent="0.35">
      <c r="A36" s="35" t="s">
        <v>275</v>
      </c>
    </row>
    <row r="37" spans="1:3" x14ac:dyDescent="0.3">
      <c r="C37" s="47" t="s">
        <v>289</v>
      </c>
    </row>
    <row r="38" spans="1:3" ht="15" customHeight="1" thickBot="1" x14ac:dyDescent="0.35">
      <c r="C38" s="48" t="s">
        <v>301</v>
      </c>
    </row>
    <row r="39" spans="1:3" x14ac:dyDescent="0.3">
      <c r="A39" s="33" t="s">
        <v>302</v>
      </c>
      <c r="C39" s="48" t="s">
        <v>303</v>
      </c>
    </row>
    <row r="40" spans="1:3" x14ac:dyDescent="0.3">
      <c r="A40" s="34" t="s">
        <v>294</v>
      </c>
      <c r="C40" s="48" t="s">
        <v>304</v>
      </c>
    </row>
    <row r="41" spans="1:3" ht="15" customHeight="1" thickBot="1" x14ac:dyDescent="0.35">
      <c r="A41" s="34" t="s">
        <v>305</v>
      </c>
      <c r="C41" s="49" t="s">
        <v>306</v>
      </c>
    </row>
    <row r="42" spans="1:3" ht="15" customHeight="1" thickBot="1" x14ac:dyDescent="0.35">
      <c r="A42" s="34" t="s">
        <v>307</v>
      </c>
    </row>
    <row r="43" spans="1:3" ht="15" customHeight="1" thickBot="1" x14ac:dyDescent="0.35">
      <c r="A43" s="35" t="s">
        <v>308</v>
      </c>
      <c r="C43" s="33" t="s">
        <v>309</v>
      </c>
    </row>
    <row r="44" spans="1:3" x14ac:dyDescent="0.3">
      <c r="C44" s="34" t="s">
        <v>310</v>
      </c>
    </row>
    <row r="45" spans="1:3" ht="15" customHeight="1" thickBot="1" x14ac:dyDescent="0.35"/>
    <row r="46" spans="1:3" x14ac:dyDescent="0.3">
      <c r="A46" s="33" t="s">
        <v>311</v>
      </c>
      <c r="C46" s="33" t="s">
        <v>312</v>
      </c>
    </row>
    <row r="47" spans="1:3" x14ac:dyDescent="0.3">
      <c r="A47" s="34" t="s">
        <v>294</v>
      </c>
      <c r="C47" s="34" t="s">
        <v>310</v>
      </c>
    </row>
    <row r="48" spans="1:3" ht="15" customHeight="1" thickBot="1" x14ac:dyDescent="0.35">
      <c r="A48" s="34" t="s">
        <v>305</v>
      </c>
    </row>
    <row r="49" spans="1:3" x14ac:dyDescent="0.3">
      <c r="A49" s="34" t="s">
        <v>307</v>
      </c>
      <c r="C49" s="33" t="s">
        <v>313</v>
      </c>
    </row>
    <row r="50" spans="1:3" ht="15" customHeight="1" thickBot="1" x14ac:dyDescent="0.35">
      <c r="A50" s="35" t="s">
        <v>308</v>
      </c>
      <c r="C50" s="34" t="s">
        <v>310</v>
      </c>
    </row>
    <row r="51" spans="1:3" ht="15" customHeight="1" thickBot="1" x14ac:dyDescent="0.35"/>
    <row r="52" spans="1:3" ht="15" customHeight="1" thickBot="1" x14ac:dyDescent="0.35">
      <c r="C52" s="33" t="s">
        <v>276</v>
      </c>
    </row>
    <row r="53" spans="1:3" x14ac:dyDescent="0.3">
      <c r="A53" s="33" t="s">
        <v>312</v>
      </c>
      <c r="C53" s="34" t="s">
        <v>310</v>
      </c>
    </row>
    <row r="54" spans="1:3" ht="15" customHeight="1" thickBot="1" x14ac:dyDescent="0.35">
      <c r="A54" s="34" t="s">
        <v>294</v>
      </c>
    </row>
    <row r="55" spans="1:3" x14ac:dyDescent="0.3">
      <c r="A55" s="34" t="s">
        <v>305</v>
      </c>
      <c r="C55" s="33" t="s">
        <v>289</v>
      </c>
    </row>
    <row r="56" spans="1:3" x14ac:dyDescent="0.3">
      <c r="A56" s="34" t="s">
        <v>307</v>
      </c>
      <c r="C56" s="34" t="s">
        <v>310</v>
      </c>
    </row>
    <row r="57" spans="1:3" ht="15" customHeight="1" thickBot="1" x14ac:dyDescent="0.35">
      <c r="A57" s="35" t="s">
        <v>308</v>
      </c>
    </row>
    <row r="58" spans="1:3" x14ac:dyDescent="0.3">
      <c r="C58" s="33" t="s">
        <v>314</v>
      </c>
    </row>
    <row r="59" spans="1:3" ht="15" customHeight="1" thickBot="1" x14ac:dyDescent="0.35">
      <c r="C59" s="34" t="s">
        <v>310</v>
      </c>
    </row>
    <row r="60" spans="1:3" x14ac:dyDescent="0.3">
      <c r="A60" s="47" t="s">
        <v>284</v>
      </c>
    </row>
    <row r="61" spans="1:3" x14ac:dyDescent="0.3">
      <c r="A61" s="48" t="s">
        <v>294</v>
      </c>
    </row>
    <row r="62" spans="1:3" x14ac:dyDescent="0.3">
      <c r="A62" s="48" t="s">
        <v>303</v>
      </c>
    </row>
    <row r="63" spans="1:3" x14ac:dyDescent="0.3">
      <c r="A63" s="48" t="s">
        <v>315</v>
      </c>
    </row>
    <row r="64" spans="1:3" ht="15" customHeight="1" thickBot="1" x14ac:dyDescent="0.35">
      <c r="A64" s="49" t="s">
        <v>316</v>
      </c>
    </row>
    <row r="66" spans="1:3" ht="57.6" customHeight="1" x14ac:dyDescent="0.3">
      <c r="A66" s="31" t="s">
        <v>317</v>
      </c>
    </row>
    <row r="69" spans="1:3" ht="15" customHeight="1" thickBot="1" x14ac:dyDescent="0.35"/>
    <row r="70" spans="1:3" x14ac:dyDescent="0.3">
      <c r="A70" s="47" t="s">
        <v>313</v>
      </c>
      <c r="C70" s="47" t="s">
        <v>318</v>
      </c>
    </row>
    <row r="71" spans="1:3" x14ac:dyDescent="0.3">
      <c r="A71" s="48" t="s">
        <v>271</v>
      </c>
      <c r="C71" s="48" t="s">
        <v>319</v>
      </c>
    </row>
    <row r="72" spans="1:3" x14ac:dyDescent="0.3">
      <c r="A72" s="48" t="s">
        <v>320</v>
      </c>
      <c r="C72" s="48" t="s">
        <v>321</v>
      </c>
    </row>
    <row r="73" spans="1:3" x14ac:dyDescent="0.3">
      <c r="A73" s="48" t="s">
        <v>322</v>
      </c>
      <c r="C73" s="48" t="s">
        <v>323</v>
      </c>
    </row>
    <row r="74" spans="1:3" ht="15" customHeight="1" thickBot="1" x14ac:dyDescent="0.35">
      <c r="A74" s="49" t="s">
        <v>316</v>
      </c>
      <c r="C74" s="49" t="s">
        <v>324</v>
      </c>
    </row>
    <row r="76" spans="1:3" ht="15" customHeight="1" thickBot="1" x14ac:dyDescent="0.35"/>
    <row r="77" spans="1:3" x14ac:dyDescent="0.3">
      <c r="A77" s="47" t="s">
        <v>276</v>
      </c>
    </row>
    <row r="78" spans="1:3" x14ac:dyDescent="0.3">
      <c r="A78" s="48" t="s">
        <v>272</v>
      </c>
    </row>
    <row r="79" spans="1:3" x14ac:dyDescent="0.3">
      <c r="A79" s="48" t="s">
        <v>325</v>
      </c>
    </row>
    <row r="80" spans="1:3" x14ac:dyDescent="0.3">
      <c r="A80" s="48" t="s">
        <v>326</v>
      </c>
    </row>
    <row r="81" spans="1:1" ht="15" customHeight="1" thickBot="1" x14ac:dyDescent="0.35">
      <c r="A81" s="49" t="s">
        <v>316</v>
      </c>
    </row>
    <row r="83" spans="1:1" ht="57.6" customHeight="1" x14ac:dyDescent="0.3">
      <c r="A83" s="31" t="s">
        <v>327</v>
      </c>
    </row>
    <row r="85" spans="1:1" ht="15" customHeight="1" thickBot="1" x14ac:dyDescent="0.35"/>
    <row r="86" spans="1:1" x14ac:dyDescent="0.3">
      <c r="A86" s="47" t="s">
        <v>284</v>
      </c>
    </row>
    <row r="87" spans="1:1" x14ac:dyDescent="0.3">
      <c r="A87" s="48" t="s">
        <v>319</v>
      </c>
    </row>
    <row r="88" spans="1:1" x14ac:dyDescent="0.3">
      <c r="A88" s="48" t="s">
        <v>328</v>
      </c>
    </row>
    <row r="89" spans="1:1" x14ac:dyDescent="0.3">
      <c r="A89" s="48" t="s">
        <v>329</v>
      </c>
    </row>
    <row r="90" spans="1:1" ht="15" customHeight="1" thickBot="1" x14ac:dyDescent="0.35">
      <c r="A90" s="49" t="s">
        <v>330</v>
      </c>
    </row>
    <row r="92" spans="1:1" ht="28.8" customHeight="1" x14ac:dyDescent="0.3">
      <c r="A92" s="50" t="s">
        <v>317</v>
      </c>
    </row>
    <row r="93" spans="1:1" ht="15" customHeight="1" thickBot="1" x14ac:dyDescent="0.35"/>
    <row r="94" spans="1:1" x14ac:dyDescent="0.3">
      <c r="A94" s="47" t="s">
        <v>331</v>
      </c>
    </row>
    <row r="95" spans="1:1" x14ac:dyDescent="0.3">
      <c r="A95" s="48" t="s">
        <v>294</v>
      </c>
    </row>
    <row r="96" spans="1:1" x14ac:dyDescent="0.3">
      <c r="A96" s="48" t="s">
        <v>303</v>
      </c>
    </row>
    <row r="97" spans="1:1" x14ac:dyDescent="0.3">
      <c r="A97" s="48" t="s">
        <v>332</v>
      </c>
    </row>
    <row r="98" spans="1:1" ht="15" customHeight="1" thickBot="1" x14ac:dyDescent="0.35">
      <c r="A98" s="49" t="s">
        <v>316</v>
      </c>
    </row>
    <row r="100" spans="1:1" ht="28.8" customHeight="1" x14ac:dyDescent="0.3">
      <c r="A100" s="50" t="s">
        <v>333</v>
      </c>
    </row>
    <row r="103" spans="1:1" ht="15" customHeight="1" thickBot="1" x14ac:dyDescent="0.35"/>
    <row r="104" spans="1:1" x14ac:dyDescent="0.3">
      <c r="A104" s="47" t="s">
        <v>284</v>
      </c>
    </row>
    <row r="105" spans="1:1" x14ac:dyDescent="0.3">
      <c r="A105" s="48" t="s">
        <v>334</v>
      </c>
    </row>
    <row r="106" spans="1:1" x14ac:dyDescent="0.3">
      <c r="A106" s="48" t="s">
        <v>335</v>
      </c>
    </row>
    <row r="107" spans="1:1" x14ac:dyDescent="0.3">
      <c r="A107" s="48" t="s">
        <v>336</v>
      </c>
    </row>
    <row r="108" spans="1:1" ht="15" customHeight="1" thickBot="1" x14ac:dyDescent="0.35">
      <c r="A108" s="49" t="s">
        <v>308</v>
      </c>
    </row>
    <row r="110" spans="1:1" ht="57.6" customHeight="1" x14ac:dyDescent="0.3">
      <c r="A110" s="50" t="s">
        <v>317</v>
      </c>
    </row>
    <row r="115" spans="1:1" ht="15" customHeight="1" thickBot="1" x14ac:dyDescent="0.35"/>
    <row r="116" spans="1:1" x14ac:dyDescent="0.3">
      <c r="A116" s="47" t="s">
        <v>337</v>
      </c>
    </row>
    <row r="117" spans="1:1" x14ac:dyDescent="0.3">
      <c r="A117" s="48" t="s">
        <v>294</v>
      </c>
    </row>
    <row r="118" spans="1:1" x14ac:dyDescent="0.3">
      <c r="A118" s="48" t="s">
        <v>303</v>
      </c>
    </row>
    <row r="119" spans="1:1" x14ac:dyDescent="0.3">
      <c r="A119" s="48" t="s">
        <v>338</v>
      </c>
    </row>
    <row r="120" spans="1:1" ht="29.4" customHeight="1" thickBot="1" x14ac:dyDescent="0.35">
      <c r="A120" s="35" t="s">
        <v>339</v>
      </c>
    </row>
    <row r="121" spans="1:1" ht="15" customHeight="1" thickBot="1" x14ac:dyDescent="0.35"/>
    <row r="122" spans="1:1" x14ac:dyDescent="0.3">
      <c r="A122" s="47" t="s">
        <v>318</v>
      </c>
    </row>
    <row r="123" spans="1:1" x14ac:dyDescent="0.3">
      <c r="A123" s="48" t="s">
        <v>294</v>
      </c>
    </row>
    <row r="124" spans="1:1" x14ac:dyDescent="0.3">
      <c r="A124" s="48" t="s">
        <v>303</v>
      </c>
    </row>
    <row r="125" spans="1:1" x14ac:dyDescent="0.3">
      <c r="A125" s="48" t="s">
        <v>338</v>
      </c>
    </row>
    <row r="126" spans="1:1" ht="15" customHeight="1" thickBot="1" x14ac:dyDescent="0.35">
      <c r="A126" s="35" t="s">
        <v>340</v>
      </c>
    </row>
    <row r="127" spans="1:1" ht="15" customHeight="1" thickBot="1" x14ac:dyDescent="0.35"/>
    <row r="128" spans="1:1" x14ac:dyDescent="0.3">
      <c r="A128" s="47" t="s">
        <v>341</v>
      </c>
    </row>
    <row r="129" spans="1:1" x14ac:dyDescent="0.3">
      <c r="A129" s="48" t="s">
        <v>294</v>
      </c>
    </row>
    <row r="130" spans="1:1" x14ac:dyDescent="0.3">
      <c r="A130" s="48" t="s">
        <v>303</v>
      </c>
    </row>
    <row r="131" spans="1:1" x14ac:dyDescent="0.3">
      <c r="A131" s="48" t="s">
        <v>338</v>
      </c>
    </row>
    <row r="132" spans="1:1" ht="15" customHeight="1" thickBot="1" x14ac:dyDescent="0.35">
      <c r="A132" s="35" t="s">
        <v>340</v>
      </c>
    </row>
    <row r="133" spans="1:1" ht="15" customHeight="1" thickBot="1" x14ac:dyDescent="0.35"/>
    <row r="134" spans="1:1" x14ac:dyDescent="0.3">
      <c r="A134" s="47" t="s">
        <v>314</v>
      </c>
    </row>
    <row r="135" spans="1:1" x14ac:dyDescent="0.3">
      <c r="A135" s="48" t="s">
        <v>319</v>
      </c>
    </row>
    <row r="136" spans="1:1" x14ac:dyDescent="0.3">
      <c r="A136" s="48" t="s">
        <v>321</v>
      </c>
    </row>
    <row r="137" spans="1:1" x14ac:dyDescent="0.3">
      <c r="A137" s="48" t="s">
        <v>323</v>
      </c>
    </row>
    <row r="138" spans="1:1" ht="15" customHeight="1" thickBot="1" x14ac:dyDescent="0.35">
      <c r="A138" s="49" t="s">
        <v>324</v>
      </c>
    </row>
    <row r="140" spans="1:1" ht="15" customHeight="1" thickBot="1" x14ac:dyDescent="0.35"/>
    <row r="141" spans="1:1" x14ac:dyDescent="0.3">
      <c r="A141" s="47" t="s">
        <v>342</v>
      </c>
    </row>
    <row r="142" spans="1:1" x14ac:dyDescent="0.3">
      <c r="A142" s="48" t="s">
        <v>294</v>
      </c>
    </row>
    <row r="143" spans="1:1" x14ac:dyDescent="0.3">
      <c r="A143" s="48" t="s">
        <v>303</v>
      </c>
    </row>
    <row r="144" spans="1:1" x14ac:dyDescent="0.3">
      <c r="A144" s="48" t="s">
        <v>332</v>
      </c>
    </row>
    <row r="145" spans="1:1" ht="15" customHeight="1" thickBot="1" x14ac:dyDescent="0.35">
      <c r="A145" s="49" t="s">
        <v>316</v>
      </c>
    </row>
    <row r="147" spans="1:1" ht="16.8" customHeight="1" x14ac:dyDescent="0.3">
      <c r="A147" s="51" t="s">
        <v>314</v>
      </c>
    </row>
    <row r="148" spans="1:1" ht="16.8" customHeight="1" x14ac:dyDescent="0.3">
      <c r="A148" s="51" t="s">
        <v>310</v>
      </c>
    </row>
    <row r="151" spans="1:1" ht="15" customHeight="1" thickBot="1" x14ac:dyDescent="0.35"/>
    <row r="152" spans="1:1" x14ac:dyDescent="0.3">
      <c r="A152" s="47" t="s">
        <v>343</v>
      </c>
    </row>
    <row r="153" spans="1:1" x14ac:dyDescent="0.3">
      <c r="A153" s="48" t="s">
        <v>272</v>
      </c>
    </row>
    <row r="154" spans="1:1" x14ac:dyDescent="0.3">
      <c r="A154" s="48" t="s">
        <v>277</v>
      </c>
    </row>
    <row r="155" spans="1:1" x14ac:dyDescent="0.3">
      <c r="A155" s="48" t="s">
        <v>279</v>
      </c>
    </row>
    <row r="156" spans="1:1" ht="15" customHeight="1" thickBot="1" x14ac:dyDescent="0.35">
      <c r="A156" s="49" t="s">
        <v>281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9"/>
  <sheetViews>
    <sheetView topLeftCell="M1" workbookViewId="0">
      <selection activeCell="O13" sqref="O13"/>
    </sheetView>
  </sheetViews>
  <sheetFormatPr defaultRowHeight="14.4" x14ac:dyDescent="0.3"/>
  <cols>
    <col min="1" max="1" width="82.6640625" bestFit="1" customWidth="1"/>
    <col min="2" max="2" width="6.21875" customWidth="1"/>
    <col min="3" max="3" width="44.6640625" customWidth="1"/>
    <col min="5" max="5" width="45.6640625" bestFit="1" customWidth="1"/>
    <col min="7" max="7" width="45.33203125" bestFit="1" customWidth="1"/>
    <col min="9" max="9" width="44.5546875" bestFit="1" customWidth="1"/>
    <col min="11" max="11" width="44.5546875" bestFit="1" customWidth="1"/>
    <col min="12" max="12" width="8.33203125" customWidth="1"/>
    <col min="13" max="13" width="44.88671875" customWidth="1"/>
    <col min="14" max="14" width="8.33203125" customWidth="1"/>
    <col min="15" max="15" width="44.88671875" customWidth="1"/>
    <col min="16" max="16" width="8.33203125" customWidth="1"/>
    <col min="17" max="17" width="44.88671875" customWidth="1"/>
  </cols>
  <sheetData>
    <row r="1" spans="1:17" s="55" customFormat="1" ht="62.4" customHeight="1" x14ac:dyDescent="0.3">
      <c r="A1" s="55" t="s">
        <v>344</v>
      </c>
      <c r="C1" s="55" t="s">
        <v>345</v>
      </c>
      <c r="E1" s="55" t="s">
        <v>346</v>
      </c>
      <c r="G1" s="55" t="s">
        <v>347</v>
      </c>
      <c r="I1" s="55" t="s">
        <v>348</v>
      </c>
      <c r="K1" s="55" t="s">
        <v>349</v>
      </c>
      <c r="M1" s="55" t="s">
        <v>350</v>
      </c>
      <c r="O1" s="55" t="s">
        <v>351</v>
      </c>
      <c r="Q1" s="55" t="s">
        <v>352</v>
      </c>
    </row>
    <row r="2" spans="1:17" ht="15" customHeight="1" thickBot="1" x14ac:dyDescent="0.35"/>
    <row r="3" spans="1:17" x14ac:dyDescent="0.3">
      <c r="A3" s="47" t="s">
        <v>343</v>
      </c>
      <c r="E3" s="47" t="s">
        <v>353</v>
      </c>
      <c r="G3" s="47" t="s">
        <v>354</v>
      </c>
      <c r="K3" s="47" t="s">
        <v>353</v>
      </c>
      <c r="M3" s="47" t="s">
        <v>355</v>
      </c>
      <c r="O3" s="47" t="s">
        <v>356</v>
      </c>
    </row>
    <row r="4" spans="1:17" x14ac:dyDescent="0.3">
      <c r="A4" s="48" t="s">
        <v>272</v>
      </c>
      <c r="E4" s="48" t="s">
        <v>272</v>
      </c>
      <c r="G4" s="48" t="s">
        <v>357</v>
      </c>
      <c r="K4" s="48" t="s">
        <v>272</v>
      </c>
      <c r="M4" s="48" t="s">
        <v>272</v>
      </c>
      <c r="O4" s="48" t="s">
        <v>272</v>
      </c>
    </row>
    <row r="5" spans="1:17" x14ac:dyDescent="0.3">
      <c r="A5" s="48" t="s">
        <v>277</v>
      </c>
      <c r="E5" s="48" t="s">
        <v>277</v>
      </c>
      <c r="G5" s="48" t="s">
        <v>335</v>
      </c>
      <c r="K5" s="48" t="s">
        <v>291</v>
      </c>
      <c r="M5" s="48" t="s">
        <v>358</v>
      </c>
      <c r="O5" s="48" t="s">
        <v>277</v>
      </c>
    </row>
    <row r="6" spans="1:17" x14ac:dyDescent="0.3">
      <c r="A6" s="48" t="s">
        <v>279</v>
      </c>
      <c r="E6" s="48" t="s">
        <v>279</v>
      </c>
      <c r="G6" s="48" t="s">
        <v>336</v>
      </c>
      <c r="K6" s="48" t="s">
        <v>359</v>
      </c>
      <c r="M6" s="48" t="s">
        <v>360</v>
      </c>
      <c r="O6" s="48" t="s">
        <v>361</v>
      </c>
    </row>
    <row r="7" spans="1:17" ht="15" customHeight="1" thickBot="1" x14ac:dyDescent="0.35">
      <c r="A7" s="49" t="s">
        <v>281</v>
      </c>
      <c r="E7" s="49" t="s">
        <v>281</v>
      </c>
      <c r="G7" s="49" t="s">
        <v>308</v>
      </c>
      <c r="K7" s="49" t="s">
        <v>308</v>
      </c>
      <c r="M7" s="49" t="s">
        <v>362</v>
      </c>
      <c r="O7" s="35" t="s">
        <v>363</v>
      </c>
    </row>
    <row r="8" spans="1:17" ht="15" customHeight="1" thickBot="1" x14ac:dyDescent="0.35"/>
    <row r="9" spans="1:17" x14ac:dyDescent="0.3">
      <c r="A9" s="47" t="s">
        <v>314</v>
      </c>
      <c r="E9" s="47" t="s">
        <v>355</v>
      </c>
      <c r="G9" s="47" t="s">
        <v>364</v>
      </c>
    </row>
    <row r="10" spans="1:17" ht="15" customHeight="1" thickBot="1" x14ac:dyDescent="0.35">
      <c r="A10" s="49" t="s">
        <v>310</v>
      </c>
      <c r="E10" s="48" t="s">
        <v>301</v>
      </c>
      <c r="G10" s="48" t="s">
        <v>365</v>
      </c>
    </row>
    <row r="11" spans="1:17" x14ac:dyDescent="0.3">
      <c r="E11" s="48" t="s">
        <v>366</v>
      </c>
      <c r="G11" s="48" t="s">
        <v>277</v>
      </c>
    </row>
    <row r="12" spans="1:17" x14ac:dyDescent="0.3">
      <c r="E12" s="48" t="s">
        <v>367</v>
      </c>
      <c r="G12" s="48" t="s">
        <v>368</v>
      </c>
    </row>
    <row r="13" spans="1:17" ht="15" customHeight="1" thickBot="1" x14ac:dyDescent="0.35">
      <c r="E13" s="49" t="s">
        <v>369</v>
      </c>
      <c r="G13" s="49" t="s">
        <v>370</v>
      </c>
    </row>
    <row r="14" spans="1:17" ht="15" customHeight="1" thickBot="1" x14ac:dyDescent="0.35"/>
    <row r="15" spans="1:17" x14ac:dyDescent="0.3">
      <c r="E15" s="47" t="s">
        <v>371</v>
      </c>
    </row>
    <row r="16" spans="1:17" x14ac:dyDescent="0.3">
      <c r="E16" s="48" t="s">
        <v>301</v>
      </c>
    </row>
    <row r="17" spans="5:5" x14ac:dyDescent="0.3">
      <c r="E17" s="48" t="s">
        <v>366</v>
      </c>
    </row>
    <row r="18" spans="5:5" x14ac:dyDescent="0.3">
      <c r="E18" s="48" t="s">
        <v>372</v>
      </c>
    </row>
    <row r="19" spans="5:5" ht="15" customHeight="1" thickBot="1" x14ac:dyDescent="0.35">
      <c r="E19" s="49" t="s">
        <v>373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
  <sheetViews>
    <sheetView topLeftCell="A1048556" workbookViewId="0">
      <selection activeCell="A1048576" sqref="A1:XFD1048576"/>
    </sheetView>
  </sheetViews>
  <sheetFormatPr defaultRowHeight="14.4" x14ac:dyDescent="0.3"/>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3"/>
  <sheetViews>
    <sheetView workbookViewId="0"/>
  </sheetViews>
  <sheetFormatPr defaultRowHeight="14.4" x14ac:dyDescent="0.3"/>
  <cols>
    <col min="1" max="1" width="6.6640625" bestFit="1" customWidth="1"/>
    <col min="2" max="2" width="56.6640625" customWidth="1"/>
    <col min="3" max="3" width="9.5546875" bestFit="1" customWidth="1"/>
    <col min="4" max="4" width="8.6640625" bestFit="1" customWidth="1"/>
    <col min="5" max="5" width="12.44140625" bestFit="1" customWidth="1"/>
    <col min="6" max="6" width="10.88671875" bestFit="1" customWidth="1"/>
    <col min="7" max="7" width="6.6640625" bestFit="1" customWidth="1"/>
  </cols>
  <sheetData>
    <row r="1" spans="1:9" ht="15.75" customHeight="1" thickBot="1" x14ac:dyDescent="0.35">
      <c r="A1" s="1" t="s">
        <v>0</v>
      </c>
      <c r="B1" s="2" t="s">
        <v>1</v>
      </c>
      <c r="C1" s="3" t="s">
        <v>2</v>
      </c>
      <c r="D1" s="4" t="s">
        <v>3</v>
      </c>
      <c r="E1" s="4" t="s">
        <v>4</v>
      </c>
      <c r="F1" s="5" t="s">
        <v>5</v>
      </c>
      <c r="G1" s="2" t="s">
        <v>6</v>
      </c>
    </row>
    <row r="2" spans="1:9" x14ac:dyDescent="0.3">
      <c r="A2" s="6">
        <f t="shared" ref="A2:A21" si="0">ROW() - ROW($A$1)</f>
        <v>1</v>
      </c>
      <c r="B2" s="7" t="s">
        <v>7</v>
      </c>
      <c r="C2" s="8"/>
      <c r="D2" s="9"/>
      <c r="E2" s="9">
        <v>1.388888888888889E-2</v>
      </c>
      <c r="F2" s="10">
        <f t="shared" ref="F2:F21" si="1">D2-C2</f>
        <v>0</v>
      </c>
      <c r="G2" s="11"/>
      <c r="I2" s="12" t="s">
        <v>8</v>
      </c>
    </row>
    <row r="3" spans="1:9" x14ac:dyDescent="0.3">
      <c r="A3" s="6">
        <f t="shared" si="0"/>
        <v>2</v>
      </c>
      <c r="B3" s="13" t="s">
        <v>9</v>
      </c>
      <c r="C3" s="14"/>
      <c r="D3" s="10"/>
      <c r="E3" s="10">
        <v>1.7361111111111108E-2</v>
      </c>
      <c r="F3" s="10">
        <f t="shared" si="1"/>
        <v>0</v>
      </c>
      <c r="G3" s="11"/>
    </row>
    <row r="4" spans="1:9" x14ac:dyDescent="0.3">
      <c r="A4" s="6">
        <f t="shared" si="0"/>
        <v>3</v>
      </c>
      <c r="B4" s="15" t="s">
        <v>10</v>
      </c>
      <c r="C4" s="14"/>
      <c r="D4" s="10"/>
      <c r="E4" s="10">
        <v>6.9444444444444441E-3</v>
      </c>
      <c r="F4" s="10">
        <f t="shared" si="1"/>
        <v>0</v>
      </c>
      <c r="G4" s="11"/>
    </row>
    <row r="5" spans="1:9" x14ac:dyDescent="0.3">
      <c r="A5" s="6">
        <f t="shared" si="0"/>
        <v>4</v>
      </c>
      <c r="B5" s="13" t="s">
        <v>11</v>
      </c>
      <c r="C5" s="14"/>
      <c r="D5" s="10"/>
      <c r="E5" s="10">
        <v>4.1666666666666657E-2</v>
      </c>
      <c r="F5" s="10">
        <f t="shared" si="1"/>
        <v>0</v>
      </c>
      <c r="G5" s="11"/>
    </row>
    <row r="6" spans="1:9" x14ac:dyDescent="0.3">
      <c r="A6" s="6">
        <f t="shared" si="0"/>
        <v>5</v>
      </c>
      <c r="B6" s="16" t="s">
        <v>12</v>
      </c>
      <c r="C6" s="14"/>
      <c r="D6" s="10"/>
      <c r="E6" s="10"/>
      <c r="F6" s="10">
        <f t="shared" si="1"/>
        <v>0</v>
      </c>
      <c r="G6" s="11"/>
    </row>
    <row r="7" spans="1:9" x14ac:dyDescent="0.3">
      <c r="A7" s="6">
        <f t="shared" si="0"/>
        <v>6</v>
      </c>
      <c r="B7" s="13" t="s">
        <v>13</v>
      </c>
      <c r="C7" s="14"/>
      <c r="D7" s="10"/>
      <c r="E7" s="10"/>
      <c r="F7" s="10">
        <f t="shared" si="1"/>
        <v>0</v>
      </c>
      <c r="G7" s="11"/>
    </row>
    <row r="8" spans="1:9" x14ac:dyDescent="0.3">
      <c r="A8" s="6">
        <f t="shared" si="0"/>
        <v>7</v>
      </c>
      <c r="B8" s="16"/>
      <c r="C8" s="14"/>
      <c r="D8" s="10"/>
      <c r="E8" s="10"/>
      <c r="F8" s="14">
        <f t="shared" si="1"/>
        <v>0</v>
      </c>
      <c r="G8" s="11"/>
    </row>
    <row r="9" spans="1:9" x14ac:dyDescent="0.3">
      <c r="A9" s="6">
        <f t="shared" si="0"/>
        <v>8</v>
      </c>
      <c r="B9" s="16"/>
      <c r="C9" s="14"/>
      <c r="D9" s="10"/>
      <c r="E9" s="10"/>
      <c r="F9" s="10">
        <f t="shared" si="1"/>
        <v>0</v>
      </c>
      <c r="G9" s="11"/>
    </row>
    <row r="10" spans="1:9" x14ac:dyDescent="0.3">
      <c r="A10" s="6">
        <f t="shared" si="0"/>
        <v>9</v>
      </c>
      <c r="B10" s="16"/>
      <c r="C10" s="14"/>
      <c r="D10" s="10"/>
      <c r="E10" s="10"/>
      <c r="F10" s="10">
        <f t="shared" si="1"/>
        <v>0</v>
      </c>
      <c r="G10" s="11"/>
    </row>
    <row r="11" spans="1:9" x14ac:dyDescent="0.3">
      <c r="A11" s="6">
        <f t="shared" si="0"/>
        <v>10</v>
      </c>
      <c r="B11" s="16"/>
      <c r="C11" s="14"/>
      <c r="D11" s="17"/>
      <c r="E11" s="17"/>
      <c r="F11" s="10">
        <f t="shared" si="1"/>
        <v>0</v>
      </c>
      <c r="G11" s="11"/>
    </row>
    <row r="12" spans="1:9" x14ac:dyDescent="0.3">
      <c r="A12" s="6">
        <f t="shared" si="0"/>
        <v>11</v>
      </c>
      <c r="B12" s="16"/>
      <c r="C12" s="14"/>
      <c r="D12" s="17"/>
      <c r="E12" s="17"/>
      <c r="F12" s="10">
        <f t="shared" si="1"/>
        <v>0</v>
      </c>
      <c r="G12" s="11"/>
    </row>
    <row r="13" spans="1:9" x14ac:dyDescent="0.3">
      <c r="A13" s="6">
        <f t="shared" si="0"/>
        <v>12</v>
      </c>
      <c r="B13" s="16"/>
      <c r="C13" s="14"/>
      <c r="D13" s="17"/>
      <c r="E13" s="17"/>
      <c r="F13" s="10">
        <f t="shared" si="1"/>
        <v>0</v>
      </c>
      <c r="G13" s="11"/>
    </row>
    <row r="14" spans="1:9" x14ac:dyDescent="0.3">
      <c r="A14" s="6">
        <f t="shared" si="0"/>
        <v>13</v>
      </c>
      <c r="B14" s="16"/>
      <c r="C14" s="14"/>
      <c r="D14" s="17"/>
      <c r="E14" s="17"/>
      <c r="F14" s="10">
        <f t="shared" si="1"/>
        <v>0</v>
      </c>
      <c r="G14" s="11"/>
    </row>
    <row r="15" spans="1:9" x14ac:dyDescent="0.3">
      <c r="A15" s="6">
        <f t="shared" si="0"/>
        <v>14</v>
      </c>
      <c r="B15" s="16"/>
      <c r="C15" s="14"/>
      <c r="D15" s="17"/>
      <c r="E15" s="17"/>
      <c r="F15" s="10">
        <f t="shared" si="1"/>
        <v>0</v>
      </c>
      <c r="G15" s="11"/>
    </row>
    <row r="16" spans="1:9" x14ac:dyDescent="0.3">
      <c r="A16" s="6">
        <f t="shared" si="0"/>
        <v>15</v>
      </c>
      <c r="B16" s="16"/>
      <c r="C16" s="14"/>
      <c r="D16" s="17"/>
      <c r="E16" s="17"/>
      <c r="F16" s="10">
        <f t="shared" si="1"/>
        <v>0</v>
      </c>
      <c r="G16" s="11"/>
    </row>
    <row r="17" spans="1:7" x14ac:dyDescent="0.3">
      <c r="A17" s="6">
        <f t="shared" si="0"/>
        <v>16</v>
      </c>
      <c r="B17" s="16"/>
      <c r="C17" s="14"/>
      <c r="D17" s="17"/>
      <c r="E17" s="17"/>
      <c r="F17" s="10">
        <f t="shared" si="1"/>
        <v>0</v>
      </c>
      <c r="G17" s="11"/>
    </row>
    <row r="18" spans="1:7" x14ac:dyDescent="0.3">
      <c r="A18" s="6">
        <f t="shared" si="0"/>
        <v>17</v>
      </c>
      <c r="B18" s="16" t="s">
        <v>14</v>
      </c>
      <c r="C18" s="14"/>
      <c r="D18" s="17"/>
      <c r="E18" s="17"/>
      <c r="F18" s="10">
        <f t="shared" si="1"/>
        <v>0</v>
      </c>
      <c r="G18" s="11"/>
    </row>
    <row r="19" spans="1:7" x14ac:dyDescent="0.3">
      <c r="A19" s="6">
        <f t="shared" si="0"/>
        <v>18</v>
      </c>
      <c r="B19" s="16" t="s">
        <v>15</v>
      </c>
      <c r="C19" s="14"/>
      <c r="D19" s="17"/>
      <c r="E19" s="17"/>
      <c r="F19" s="10">
        <f t="shared" si="1"/>
        <v>0</v>
      </c>
      <c r="G19" s="11"/>
    </row>
    <row r="20" spans="1:7" x14ac:dyDescent="0.3">
      <c r="A20" s="6">
        <f t="shared" si="0"/>
        <v>19</v>
      </c>
      <c r="B20" s="16" t="s">
        <v>16</v>
      </c>
      <c r="C20" s="14"/>
      <c r="D20" s="17"/>
      <c r="E20" s="17"/>
      <c r="F20" s="10">
        <f t="shared" si="1"/>
        <v>0</v>
      </c>
      <c r="G20" s="11"/>
    </row>
    <row r="21" spans="1:7" ht="15.75" customHeight="1" thickBot="1" x14ac:dyDescent="0.35">
      <c r="A21" s="6">
        <f t="shared" si="0"/>
        <v>20</v>
      </c>
      <c r="B21" s="16" t="s">
        <v>17</v>
      </c>
      <c r="C21" s="18"/>
      <c r="D21" s="19"/>
      <c r="E21" s="17"/>
      <c r="F21" s="10">
        <f t="shared" si="1"/>
        <v>0</v>
      </c>
      <c r="G21" s="11"/>
    </row>
    <row r="22" spans="1:7" ht="15.75" customHeight="1" thickBot="1" x14ac:dyDescent="0.35">
      <c r="A22" s="20"/>
      <c r="B22" s="21" t="s">
        <v>18</v>
      </c>
      <c r="C22" s="22"/>
      <c r="D22" s="22"/>
      <c r="E22" s="23"/>
      <c r="F22" s="24">
        <f>SUM(F2:F21)</f>
        <v>0</v>
      </c>
      <c r="G22" s="25"/>
    </row>
    <row r="25" spans="1:7" ht="15.75" customHeight="1" thickBot="1" x14ac:dyDescent="0.35"/>
    <row r="26" spans="1:7" ht="15.75" customHeight="1" thickBot="1" x14ac:dyDescent="0.35">
      <c r="A26" s="26" t="s">
        <v>0</v>
      </c>
      <c r="B26" s="27" t="s">
        <v>1</v>
      </c>
      <c r="C26" s="26" t="s">
        <v>19</v>
      </c>
    </row>
    <row r="27" spans="1:7" x14ac:dyDescent="0.3">
      <c r="A27" s="28">
        <v>1</v>
      </c>
      <c r="B27" s="29"/>
      <c r="C27" s="30"/>
    </row>
    <row r="28" spans="1:7" x14ac:dyDescent="0.3">
      <c r="A28" s="28">
        <v>2</v>
      </c>
      <c r="B28" s="29"/>
      <c r="C28" s="30"/>
    </row>
    <row r="29" spans="1:7" x14ac:dyDescent="0.3">
      <c r="A29" s="28">
        <v>3</v>
      </c>
      <c r="B29" s="29"/>
      <c r="C29" s="30"/>
    </row>
    <row r="30" spans="1:7" x14ac:dyDescent="0.3">
      <c r="A30" s="28">
        <v>4</v>
      </c>
      <c r="B30" s="29"/>
      <c r="C30" s="30"/>
    </row>
    <row r="31" spans="1:7" x14ac:dyDescent="0.3">
      <c r="A31" s="28">
        <v>5</v>
      </c>
      <c r="B31" s="29"/>
      <c r="C31" s="30"/>
    </row>
    <row r="32" spans="1:7" x14ac:dyDescent="0.3">
      <c r="A32" s="28">
        <v>6</v>
      </c>
      <c r="B32" s="29"/>
      <c r="C32" s="30"/>
    </row>
    <row r="33" spans="1:3" x14ac:dyDescent="0.3">
      <c r="A33" s="28">
        <v>7</v>
      </c>
      <c r="B33" s="29"/>
      <c r="C33" s="30"/>
    </row>
    <row r="34" spans="1:3" x14ac:dyDescent="0.3">
      <c r="A34" s="28">
        <v>8</v>
      </c>
      <c r="B34" s="29"/>
      <c r="C34" s="30"/>
    </row>
    <row r="35" spans="1:3" x14ac:dyDescent="0.3">
      <c r="A35" s="28">
        <v>9</v>
      </c>
      <c r="B35" s="29"/>
      <c r="C35" s="30"/>
    </row>
    <row r="36" spans="1:3" x14ac:dyDescent="0.3">
      <c r="A36" s="28">
        <v>10</v>
      </c>
      <c r="B36" s="29"/>
      <c r="C36" s="30"/>
    </row>
    <row r="37" spans="1:3" x14ac:dyDescent="0.3">
      <c r="A37" s="28">
        <v>11</v>
      </c>
      <c r="B37" s="29"/>
      <c r="C37" s="30"/>
    </row>
    <row r="38" spans="1:3" x14ac:dyDescent="0.3">
      <c r="A38" s="28">
        <v>12</v>
      </c>
      <c r="B38" s="29"/>
      <c r="C38" s="30"/>
    </row>
    <row r="39" spans="1:3" x14ac:dyDescent="0.3">
      <c r="A39" s="28">
        <v>13</v>
      </c>
      <c r="B39" s="29"/>
      <c r="C39" s="30"/>
    </row>
    <row r="40" spans="1:3" x14ac:dyDescent="0.3">
      <c r="A40" s="28">
        <v>14</v>
      </c>
      <c r="B40" s="29"/>
      <c r="C40" s="30"/>
    </row>
    <row r="41" spans="1:3" x14ac:dyDescent="0.3">
      <c r="A41" s="28">
        <v>15</v>
      </c>
      <c r="B41" s="29"/>
      <c r="C41" s="30"/>
    </row>
    <row r="42" spans="1:3" x14ac:dyDescent="0.3">
      <c r="A42" s="28">
        <v>16</v>
      </c>
      <c r="B42" s="29"/>
      <c r="C42" s="30"/>
    </row>
    <row r="43" spans="1:3" x14ac:dyDescent="0.3">
      <c r="A43" s="28">
        <v>17</v>
      </c>
      <c r="B43" s="29"/>
      <c r="C43"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day_month</vt:lpstr>
      <vt:lpstr>3rd_February</vt:lpstr>
      <vt:lpstr>4th_February</vt:lpstr>
      <vt:lpstr>5th_February</vt:lpstr>
      <vt:lpstr>6th_February</vt:lpstr>
      <vt:lpstr>10th_February</vt:lpstr>
      <vt:lpstr>11th_February</vt:lpstr>
      <vt:lpstr>12th_February</vt:lpstr>
      <vt:lpstr>17th_February</vt:lpstr>
      <vt:lpstr>18th_February</vt:lpstr>
      <vt:lpstr>19th_February</vt:lpstr>
      <vt:lpstr>20th_February</vt:lpstr>
      <vt:lpstr>21st_February</vt:lpstr>
      <vt:lpstr>23rd_February</vt:lpstr>
      <vt:lpstr>24th_February</vt:lpstr>
      <vt:lpstr>25th_February</vt:lpstr>
      <vt:lpstr>26th_February</vt:lpstr>
      <vt:lpstr>27th_February</vt:lpstr>
      <vt:lpstr>SundaySupport</vt:lpstr>
      <vt:lpstr>Comments</vt:lpstr>
      <vt:lpstr>Sheet4</vt:lpstr>
      <vt:lpstr>Sheet2</vt:lpstr>
      <vt:lpstr>28th_February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Chandrakant Bhalekar</dc:creator>
  <cp:lastModifiedBy>Chandrakant Bhalekar</cp:lastModifiedBy>
  <dcterms:created xsi:type="dcterms:W3CDTF">2015-06-05T18:17:20Z</dcterms:created>
  <dcterms:modified xsi:type="dcterms:W3CDTF">2025-03-03T12:30:42Z</dcterms:modified>
</cp:coreProperties>
</file>