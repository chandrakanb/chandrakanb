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2D72BBFE-6576-4E47-AB76-CBF7EBB7DA2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y_month" sheetId="1" r:id="rId1"/>
    <sheet name="January" sheetId="3" r:id="rId2"/>
    <sheet name="February" sheetId="5" r:id="rId3"/>
    <sheet name="March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6" l="1"/>
  <c r="G268" i="5"/>
  <c r="G241" i="5"/>
  <c r="G214" i="5"/>
  <c r="G187" i="5"/>
  <c r="G160" i="5"/>
  <c r="G133" i="5" l="1"/>
  <c r="G106" i="5" l="1"/>
  <c r="G79" i="5"/>
  <c r="G51" i="5"/>
  <c r="G50" i="5"/>
  <c r="G49" i="5"/>
  <c r="G48" i="5"/>
  <c r="G52" i="5" s="1"/>
  <c r="G24" i="5" l="1"/>
  <c r="G23" i="5"/>
  <c r="G22" i="5"/>
  <c r="G21" i="5"/>
  <c r="G25" i="5"/>
  <c r="G42" i="3"/>
  <c r="G41" i="3"/>
  <c r="G40" i="3"/>
  <c r="G77" i="3"/>
  <c r="G76" i="3"/>
  <c r="G75" i="3"/>
  <c r="G74" i="3"/>
  <c r="G73" i="3"/>
  <c r="G72" i="3"/>
  <c r="G71" i="3"/>
  <c r="G70" i="3"/>
  <c r="G69" i="3"/>
  <c r="G68" i="3"/>
  <c r="G67" i="3"/>
  <c r="G66" i="3"/>
  <c r="G50" i="3"/>
  <c r="G49" i="3"/>
  <c r="G48" i="3"/>
  <c r="G47" i="3"/>
  <c r="G46" i="3"/>
  <c r="G45" i="3"/>
  <c r="G44" i="3"/>
  <c r="G43" i="3"/>
  <c r="G39" i="3"/>
  <c r="G38" i="3"/>
  <c r="G24" i="3"/>
  <c r="G23" i="3"/>
  <c r="G22" i="3"/>
  <c r="G21" i="3"/>
  <c r="G20" i="3"/>
  <c r="G19" i="3"/>
  <c r="G18" i="3"/>
  <c r="G17" i="3"/>
  <c r="G16" i="3"/>
  <c r="G15" i="3"/>
  <c r="G14" i="3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2" i="1" s="1"/>
  <c r="G51" i="3" l="1"/>
  <c r="G25" i="3"/>
</calcChain>
</file>

<file path=xl/sharedStrings.xml><?xml version="1.0" encoding="utf-8"?>
<sst xmlns="http://schemas.openxmlformats.org/spreadsheetml/2006/main" count="1472" uniqueCount="153">
  <si>
    <t>Sr. No.</t>
  </si>
  <si>
    <t>Task</t>
  </si>
  <si>
    <t>Priority</t>
  </si>
  <si>
    <t>Start Time</t>
  </si>
  <si>
    <t>End Time</t>
  </si>
  <si>
    <t>Total Time</t>
  </si>
  <si>
    <t>Status</t>
  </si>
  <si>
    <t>Notes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</si>
  <si>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</si>
  <si>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</si>
  <si>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</si>
  <si>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</si>
  <si>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</si>
  <si>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</si>
  <si>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</si>
  <si>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</si>
  <si>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</si>
  <si>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</si>
  <si>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</si>
  <si>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</si>
  <si>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</si>
  <si>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</si>
  <si>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</si>
  <si>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</si>
  <si>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</si>
  <si>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</si>
  <si>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</si>
  <si>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</si>
  <si>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Connected Phone and USB devices of Bench10.</t>
  </si>
  <si>
    <t>Connected Phone and USB devices of Bench06.</t>
  </si>
  <si>
    <t>Bench10</t>
  </si>
  <si>
    <t>Bench06</t>
  </si>
  <si>
    <t>Phones</t>
  </si>
  <si>
    <t>Calibration</t>
  </si>
  <si>
    <t>Kite Version</t>
  </si>
  <si>
    <t>Kite license</t>
  </si>
  <si>
    <t>Done</t>
  </si>
  <si>
    <t>31-03</t>
  </si>
  <si>
    <t>28-02</t>
  </si>
  <si>
    <t>13th January 2026</t>
  </si>
  <si>
    <t>14th January 2026</t>
  </si>
  <si>
    <t>15th January 2026</t>
  </si>
  <si>
    <t>Overnight analysis of Bench10 for AEA1414R0.260113.1.</t>
  </si>
  <si>
    <t>Manual execution of Bench10 for AEA1414R0.260113.1.</t>
  </si>
  <si>
    <t>Performing flashing of Bench10 for AEA1416D0.260113.1.</t>
  </si>
  <si>
    <t>Triggered manual execution of Bench10 for AEA1416D0.260113.1.</t>
  </si>
  <si>
    <t>Manual execution of Bench10 for AEA1416D0.260113.1.</t>
  </si>
  <si>
    <t>Overnight internal Jira ticket update of Bench10.</t>
  </si>
  <si>
    <t>Overnight failure fixation of Bench10.</t>
  </si>
  <si>
    <t>Flashed sanity base build on Bench10.</t>
  </si>
  <si>
    <t>Performed sanity on Bench10 and connected to server.</t>
  </si>
  <si>
    <t>Time</t>
  </si>
  <si>
    <t>Overnight analysis of Bench10 for AFA1502D0.260114.1.</t>
  </si>
  <si>
    <t>Manual execution of Bench10 for AFA1502D0.260114.1.</t>
  </si>
  <si>
    <t>A15 modifications of Bench10.</t>
  </si>
  <si>
    <t>Overnight analysis of Bench10 forAEA1416D0.260115.1.</t>
  </si>
  <si>
    <t>Manual execution of Bench10 for AEA1416D0.260115.1.</t>
  </si>
  <si>
    <t>2nd February 2026</t>
  </si>
  <si>
    <t>Flashed sanity base builds on Bench10.</t>
  </si>
  <si>
    <t>Performed sanity on Bench11 and connected to server.</t>
  </si>
  <si>
    <t>Flashed sanity base builds on Bench11.</t>
  </si>
  <si>
    <t>Overnight failure fixation of Bench11.</t>
  </si>
  <si>
    <t>Overnight internal Jira ticket update of Bench11.</t>
  </si>
  <si>
    <t>Overnight analysis of Bench10 for AEA1414R0.260202.1.</t>
  </si>
  <si>
    <t>Overnight analysis of Bench11 for AEA1414R0.260202.1.</t>
  </si>
  <si>
    <t>Manual execution of Bench10 for AEA1414R0.260202.1.</t>
  </si>
  <si>
    <t>Performing flashing of Bench10 for AEA1415R1.260202.1.</t>
  </si>
  <si>
    <t>Manual execution of Bench11 for AEA1414R0.260202.1.</t>
  </si>
  <si>
    <t>Manual execution of Bench10 for AEA1415R1.260202.1</t>
  </si>
  <si>
    <t>Manual execution of Bench11 for AEA1415R1.260202.1</t>
  </si>
  <si>
    <t>Overnight analysis of Bench10 for AEA1415R1.260202.1</t>
  </si>
  <si>
    <t xml:space="preserve"> </t>
  </si>
  <si>
    <t>3rd February 2026</t>
  </si>
  <si>
    <t>4th February 2026</t>
  </si>
  <si>
    <t>Overnight analysis of Bench10 for AEA1412S0.260204.1: 12 TS.</t>
  </si>
  <si>
    <t>Overnight analysis of Bench10 for AEA1417D0.260204.1: 3 TS.</t>
  </si>
  <si>
    <t>Overnight analysis of Bench11 for AEA1412S0.260204.1: 3 TS.</t>
  </si>
  <si>
    <t>Overnight analysis of Bench11 for AEA1417D0.260204.1: 9 TS.</t>
  </si>
  <si>
    <t>Manual execution of Bench10 for AEA1412S0.260204.1: 12 TS.</t>
  </si>
  <si>
    <t>Manual execution of Bench10 for AEA1417D0.260204.1: 3 TS.</t>
  </si>
  <si>
    <t>Flashed AEA1412S0.260204.1 build on Bench10 for manual execution.</t>
  </si>
  <si>
    <t>Manual execution of Bench11 for AEA1412S0.260204.1: 3 TS.</t>
  </si>
  <si>
    <t>Manual execution of Bench11 for AEA1417D0.260204.1: 9 TS.</t>
  </si>
  <si>
    <t>Overnight failure fixation of Bench10: (KPIT_TC_DRT_VEND_114, KPIT_TC_DRT_VEND_113, KPIT_TC_DRT_LMG_009, KPIT_TC_DRT_VEND_006, KPIT_TC_DRT_VEND_115, KPIT_TC_DRT_BZA_013).</t>
  </si>
  <si>
    <t>Overnight failure fixation of Bench11: (KPIT_TC_DRT_MET_078, KPIT_TC_DRT_HAC_043, KPIT_TC_DRT_MET_1214, KPIT_TC_DRT_MET_103, KPIT_TC_DRT_SPCAA_023, KPIT_TC_DRT_SRW_003, KPIT_TC_DRT_SRW_018, KPIT_TC_DRT_PSE_011).</t>
  </si>
  <si>
    <t>Internal Jira overnight failure tickets update of Bench10 for AEA1412S0.260204.1: 14 tickets.</t>
  </si>
  <si>
    <t>Internal Jira overnight failure tickets update of Bench11 for AEA1412S0.260204.1: 9 tickets.</t>
  </si>
  <si>
    <t>Internal Jira overnight failure tickets update of Bench10 for AEA1417D0.260204.1: 8 tickets.</t>
  </si>
  <si>
    <t>Internal Jira overnight failure tickets update of Bench11 for AEA1417D0.260204.1: 11 tickets.</t>
  </si>
  <si>
    <t>Flashed sanity base builds on Bench10: Performed UFS flashing - AEA1412S1.251220.1 and then Performed OTA flashing - AEA1412S1.251223.1.</t>
  </si>
  <si>
    <t>Flashed sanity base builds on Bench11: Performed UFS flashing - AEA1412S1.251220.1 and then Performed OTA flashing - AEA1412S1.251223.1.</t>
  </si>
  <si>
    <t>5th February 2026</t>
  </si>
  <si>
    <t>Overnight analysis of Bench10 for AEA1412S1.260205.1 - 12 TS</t>
  </si>
  <si>
    <t>Overnight analysis of Bench11 for AEA1412S1.260205.1 - 4 TS</t>
  </si>
  <si>
    <t>Manual execution of Bench10 for AEA1412S1.260205.1 - 12 TS</t>
  </si>
  <si>
    <t>Manual execution of Bench10 for AEA1412S1.260205.1 - 4 TS</t>
  </si>
  <si>
    <t>Overnight failure fixation of Bench10 - (KPIT_TC_DRT_VEND_006, KPIT_TC_DRT_VEND_115, KPIT_TC_DRT_BZA_013, KPIT_TC_DRT_VEND_092, KPIT_TC_FNC_VEND_0063_0001, KPIT_TC_DRT_VEND_114, KPIT_TC_DRT_BZA_015, KPIT_TC_DRT_VEND_113)</t>
  </si>
  <si>
    <t>Overnight failure fixation of Bench11 - (KPIT_TC_DRT_SPCCP_100, KPIT_TC_DRT_MET_060)</t>
  </si>
  <si>
    <t>Internal Jira overnight failure tickets update of Bench10 for AEA1412S1.260205.1 - 12 tickets</t>
  </si>
  <si>
    <t>Internal Jira overnight failure tickets update of Bench11 for AEA1412S1.260205.1 - 8 tickets</t>
  </si>
  <si>
    <t>Honda COE Award Ceremony</t>
  </si>
  <si>
    <t>Flashed sanity base builds on Bench10 - AEA1414R0.260127.1(UFS) &gt; AEA1414R0.260202.1(OTA)</t>
  </si>
  <si>
    <t>Flashed sanity base builds on Bench11 - AEA1414R0.260127.1(UFS) &gt; AEA1414R0.260202.1(OTA)</t>
  </si>
  <si>
    <t>Performed sanity on Bench10 and connected to server</t>
  </si>
  <si>
    <t>Performed sanity on Bench11 and connected to server</t>
  </si>
  <si>
    <t>Bench maintenance activity of Bench11</t>
  </si>
  <si>
    <t>Bench maintenance activity of Bench10</t>
  </si>
  <si>
    <t>9th February 2026</t>
  </si>
  <si>
    <t>10th February 2026</t>
  </si>
  <si>
    <t>Manual execution of Bench10 for AFA1503D0.260210.1 - 8 TS</t>
  </si>
  <si>
    <t>Overnight failure fixation of Bench10 - (KPIT_TC_DRT_BT_010)</t>
  </si>
  <si>
    <t>Calibration Activity of Bench10</t>
  </si>
  <si>
    <t xml:space="preserve">A15 modifications of Bench10 - 15 TS </t>
  </si>
  <si>
    <t>Flashed sanity base builds on Bench10 - AEA1416D0.260130.1(UFS) &gt; AEA1417D0.260204.1(OTA)</t>
  </si>
  <si>
    <t>Overnight Execution reports share and analysis of Bench10 for AFA1503D0.260210.1 - 8 TS</t>
  </si>
  <si>
    <t>Calibration Activity of Bench11</t>
  </si>
  <si>
    <t xml:space="preserve">A15 L1 Review Rework Fixation of Bench10 - 7 TS </t>
  </si>
  <si>
    <t>Flashed sanity base builds on Bench10 - AEA1412S0.260204.1(UFS) &gt; AEA1412S0.260213.1(OTA)</t>
  </si>
  <si>
    <t>Flashed sanity base builds on Bench11 - AEA1412S0.260204.1(UFS) &gt; AEA1412S0.260213.1(OTA)</t>
  </si>
  <si>
    <t>16th February 2026</t>
  </si>
  <si>
    <t>17th February 2026</t>
  </si>
  <si>
    <t>Daily Sync-up Meeting</t>
  </si>
  <si>
    <t>Overnight Execution reports share and analysis of Bench10 for AEA1412S0.260217.1 - 8 TS</t>
  </si>
  <si>
    <t>Manual execution of Bench10 for AEA1412S0.260217.1 - 8 TS</t>
  </si>
  <si>
    <t>Overnight failure fixation of Bench10 - (KPIT_TC_DRT_IPD_047, KPIT_TC_DRT_VEND_092, KPIT_TC_FNC_VEND_0063_0001, KPIT_TC_DRT_BZA_005, KPIT_TC_DRT_BZA_015)</t>
  </si>
  <si>
    <t>Flashed sanity base builds on Bench10 - AEA1417D0.260204.1(UFS) &gt; AEA1417D0.260211.1(OTA)</t>
  </si>
  <si>
    <t>18th February 2026</t>
  </si>
  <si>
    <t>Meeting</t>
  </si>
  <si>
    <t>Overnight Execution reports share and analysis of Bench10 for AEA1417D0.260218.1 - 5 TS</t>
  </si>
  <si>
    <t>Manual execution of Bench10 forAEA1417D0.260218.1 - 5 TS</t>
  </si>
  <si>
    <t xml:space="preserve">Overnight failure fixation of Bench10 </t>
  </si>
  <si>
    <t>Flashed sanity base builds on Bench10 - AFA1502D0.260203.1(UFS) &gt; AFA1503D0.260210.1(OTA)</t>
  </si>
  <si>
    <t>24th February 2026</t>
  </si>
  <si>
    <t>Overnight analysis of Bench10 for AFA1503D0.260224.1: 13 TS.</t>
  </si>
  <si>
    <t>Overnight analysis of Bench10 for AEA1414S0.260224.1: 5 TS.</t>
  </si>
  <si>
    <t>Manual execution of Bench10 for AFA1503D0.260224.1: 13 TS.</t>
  </si>
  <si>
    <t>Flashed AEA1414S0.260224.1 build on Bench10 for manual execution.</t>
  </si>
  <si>
    <t>Manual execution of Bench10 for AEA1414S0.260224.1: 5 TS.</t>
  </si>
  <si>
    <t xml:space="preserve">Overnight failure fixation of Bench10. </t>
  </si>
  <si>
    <t>Internal Jira overnight failure tickets update of Bench10 for AEA1414S0.260224.1: 10 tickets.</t>
  </si>
  <si>
    <t>Flashed sanity base builds on Bench11: Performed UFS flashing - AEA1417D0.260211.1 and then Performed OTA flashing - AEA1417D0.260218.1.</t>
  </si>
  <si>
    <t>4th March 2026</t>
  </si>
  <si>
    <t>Overnight Execution Reports Share and Analysis of Bench10 for AEA1412S0.260304.1 - 8 TS</t>
  </si>
  <si>
    <t>Overnight Execution Reports Share and Analysis of Bench11 for AEA1412S0.260304.1 - 11 TS</t>
  </si>
  <si>
    <t>Manual Execution of Bench10 for AEA1412S0.260304.1 - 8 TS</t>
  </si>
  <si>
    <t>Manual Execution of Bench11 for AEA1412S0.260304.1 - 11 TS</t>
  </si>
  <si>
    <t xml:space="preserve">GPS Connection Status Execution Analysis </t>
  </si>
  <si>
    <t>GPS Connection Status Daytime Execution Monitoring</t>
  </si>
  <si>
    <t xml:space="preserve">Created Python Script, Batch Script and Kite Script for GPS Connection Status Overnight Execution </t>
  </si>
  <si>
    <t>Triggered GPS Connection Status Overnight Execution on OSV_Bench04</t>
  </si>
  <si>
    <t>Triggered GPS Connection Status Overnight Execution on DRT_Bench11</t>
  </si>
  <si>
    <t>Flashed sanity base builds on Bench10: Performed UFS flashing - AFA1502D0.260128.1 and then Performed OTA flashing - AFA1502R0.260226.1.</t>
  </si>
  <si>
    <t>Triggered A15 Overnight Execution on Bench10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</si>
</sst>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242424"/>
      <name val="Aptos"/>
      <family val="2"/>
    </font>
    <font>
      <b/>
      <sz val="11"/>
      <color rgb="FF242424"/>
      <name val="Inherit"/>
    </font>
    <font>
      <sz val="8"/>
      <name val="Calibri"/>
      <family val="2"/>
      <scheme val="minor"/>
    </font>
    <font>
      <sz val="11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/>
    <xf numFmtId="164" fontId="0" fillId="3" borderId="6" xfId="0" applyNumberForma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vertical="center" wrapText="1"/>
    </xf>
    <xf numFmtId="0" fontId="0" fillId="3" borderId="8" xfId="0" applyFill="1" applyBorder="1"/>
    <xf numFmtId="164" fontId="0" fillId="3" borderId="8" xfId="0" applyNumberForma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20" fontId="0" fillId="3" borderId="10" xfId="0" applyNumberFormat="1" applyFill="1" applyBorder="1" applyAlignment="1">
      <alignment horizontal="center" vertical="center" wrapText="1"/>
    </xf>
    <xf numFmtId="164" fontId="0" fillId="3" borderId="10" xfId="0" applyNumberFormat="1" applyFill="1" applyBorder="1" applyAlignment="1">
      <alignment horizontal="center" vertical="center" wrapText="1"/>
    </xf>
    <xf numFmtId="49" fontId="0" fillId="3" borderId="11" xfId="0" applyNumberFormat="1" applyFill="1" applyBorder="1" applyAlignment="1">
      <alignment horizontal="center" vertical="center"/>
    </xf>
    <xf numFmtId="20" fontId="0" fillId="3" borderId="12" xfId="0" applyNumberFormat="1" applyFill="1" applyBorder="1" applyAlignment="1">
      <alignment horizontal="center" vertical="center" wrapText="1"/>
    </xf>
    <xf numFmtId="164" fontId="0" fillId="3" borderId="12" xfId="0" applyNumberFormat="1" applyFill="1" applyBorder="1" applyAlignment="1">
      <alignment horizontal="center" vertical="center" wrapText="1"/>
    </xf>
    <xf numFmtId="164" fontId="0" fillId="3" borderId="13" xfId="0" applyNumberFormat="1" applyFill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49" fontId="0" fillId="3" borderId="3" xfId="0" applyNumberFormat="1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 wrapText="1"/>
    </xf>
    <xf numFmtId="20" fontId="0" fillId="3" borderId="3" xfId="0" applyNumberFormat="1" applyFill="1" applyBorder="1" applyAlignment="1">
      <alignment horizontal="center" vertical="center" wrapText="1"/>
    </xf>
    <xf numFmtId="20" fontId="0" fillId="3" borderId="15" xfId="0" applyNumberFormat="1" applyFill="1" applyBorder="1" applyAlignment="1">
      <alignment horizontal="center" vertical="center" wrapText="1"/>
    </xf>
    <xf numFmtId="20" fontId="1" fillId="3" borderId="13" xfId="0" applyNumberFormat="1" applyFont="1" applyFill="1" applyBorder="1" applyAlignment="1">
      <alignment horizontal="center" vertical="center" wrapText="1"/>
    </xf>
    <xf numFmtId="20" fontId="0" fillId="3" borderId="16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164" fontId="0" fillId="3" borderId="6" xfId="0" applyNumberForma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20" fontId="0" fillId="3" borderId="10" xfId="0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20" fontId="0" fillId="3" borderId="12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20" fontId="0" fillId="3" borderId="2" xfId="0" applyNumberFormat="1" applyFill="1" applyBorder="1" applyAlignment="1">
      <alignment horizontal="center" vertical="center"/>
    </xf>
    <xf numFmtId="20" fontId="0" fillId="3" borderId="3" xfId="0" applyNumberFormat="1" applyFill="1" applyBorder="1" applyAlignment="1">
      <alignment horizontal="center" vertical="center"/>
    </xf>
    <xf numFmtId="20" fontId="0" fillId="3" borderId="15" xfId="0" applyNumberFormat="1" applyFill="1" applyBorder="1" applyAlignment="1">
      <alignment horizontal="center" vertical="center"/>
    </xf>
    <xf numFmtId="20" fontId="0" fillId="3" borderId="16" xfId="0" applyNumberFormat="1" applyFill="1" applyBorder="1" applyAlignment="1">
      <alignment horizontal="center" vertical="center"/>
    </xf>
    <xf numFmtId="20" fontId="1" fillId="3" borderId="3" xfId="0" applyNumberFormat="1" applyFont="1" applyFill="1" applyBorder="1" applyAlignment="1">
      <alignment horizontal="left" vertical="top"/>
    </xf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17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49" fontId="0" fillId="3" borderId="28" xfId="0" applyNumberFormat="1" applyFill="1" applyBorder="1" applyAlignment="1">
      <alignment horizontal="center" vertical="center"/>
    </xf>
    <xf numFmtId="20" fontId="0" fillId="3" borderId="13" xfId="0" applyNumberForma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vertical="center"/>
    </xf>
    <xf numFmtId="20" fontId="3" fillId="4" borderId="30" xfId="0" applyNumberFormat="1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3" borderId="5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20" fontId="0" fillId="3" borderId="10" xfId="0" applyNumberFormat="1" applyFill="1" applyBorder="1" applyAlignment="1">
      <alignment horizontal="left" vertical="top"/>
    </xf>
    <xf numFmtId="2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0" fillId="0" borderId="28" xfId="0" applyNumberFormat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9" xfId="0" applyBorder="1"/>
    <xf numFmtId="0" fontId="0" fillId="0" borderId="34" xfId="0" applyBorder="1"/>
    <xf numFmtId="20" fontId="3" fillId="0" borderId="4" xfId="0" applyNumberFormat="1" applyFont="1" applyBorder="1" applyAlignment="1">
      <alignment horizontal="center" vertical="center" wrapText="1"/>
    </xf>
    <xf numFmtId="20" fontId="3" fillId="0" borderId="8" xfId="0" applyNumberFormat="1" applyFont="1" applyBorder="1" applyAlignment="1">
      <alignment horizontal="center" vertical="center" wrapText="1"/>
    </xf>
    <xf numFmtId="20" fontId="3" fillId="0" borderId="8" xfId="0" applyNumberFormat="1" applyFont="1" applyBorder="1" applyAlignment="1">
      <alignment horizontal="center" vertical="center"/>
    </xf>
    <xf numFmtId="20" fontId="3" fillId="0" borderId="2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 vertical="top"/>
    </xf>
    <xf numFmtId="0" fontId="0" fillId="0" borderId="6" xfId="0" applyBorder="1"/>
    <xf numFmtId="164" fontId="0" fillId="0" borderId="6" xfId="0" applyNumberFormat="1" applyBorder="1" applyAlignment="1">
      <alignment vertical="center"/>
    </xf>
    <xf numFmtId="20" fontId="3" fillId="0" borderId="30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/>
    <xf numFmtId="164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left" vertical="top"/>
    </xf>
    <xf numFmtId="20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0" fontId="0" fillId="0" borderId="10" xfId="0" applyNumberFormat="1" applyBorder="1" applyAlignment="1">
      <alignment horizontal="left" vertical="top"/>
    </xf>
    <xf numFmtId="49" fontId="0" fillId="0" borderId="11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20" fontId="1" fillId="0" borderId="3" xfId="0" applyNumberFormat="1" applyFont="1" applyBorder="1" applyAlignment="1">
      <alignment horizontal="left" vertical="top"/>
    </xf>
    <xf numFmtId="20" fontId="0" fillId="0" borderId="15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20" fontId="3" fillId="0" borderId="6" xfId="0" applyNumberFormat="1" applyFont="1" applyBorder="1" applyAlignment="1">
      <alignment horizontal="center" vertical="center"/>
    </xf>
    <xf numFmtId="20" fontId="3" fillId="0" borderId="35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left" vertical="top"/>
    </xf>
    <xf numFmtId="20" fontId="3" fillId="0" borderId="36" xfId="0" applyNumberFormat="1" applyFont="1" applyBorder="1" applyAlignment="1">
      <alignment horizontal="center" vertical="center"/>
    </xf>
    <xf numFmtId="20" fontId="3" fillId="6" borderId="30" xfId="0" applyNumberFormat="1" applyFont="1" applyFill="1" applyBorder="1" applyAlignment="1">
      <alignment horizontal="center" vertical="center"/>
    </xf>
    <xf numFmtId="20" fontId="6" fillId="6" borderId="30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workbookViewId="0">
      <selection activeCell="B1" sqref="B1"/>
    </sheetView>
  </sheetViews>
  <sheetFormatPr defaultRowHeight="14.4"/>
  <cols>
    <col min="1" max="1" width="6.88671875" bestFit="1" customWidth="1"/>
    <col min="2" max="2" width="57.33203125" customWidth="1"/>
    <col min="3" max="3" width="10.33203125" customWidth="1"/>
    <col min="4" max="7" width="11.88671875" customWidth="1"/>
    <col min="8" max="8" width="16.109375" customWidth="1"/>
  </cols>
  <sheetData>
    <row r="1" spans="1:8" ht="15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</row>
    <row r="2" spans="1:8">
      <c r="A2" s="4" t="s">
        <v>8</v>
      </c>
      <c r="B2" s="5" t="s">
        <v>28</v>
      </c>
      <c r="C2" s="6"/>
      <c r="D2" s="7"/>
      <c r="E2" s="7"/>
      <c r="F2" s="8">
        <f t="shared" ref="F2:F21" si="0">E2-D2</f>
        <v>0</v>
      </c>
      <c r="G2" s="9"/>
      <c r="H2" s="8"/>
    </row>
    <row r="3" spans="1:8">
      <c r="A3" s="10" t="s">
        <v>9</v>
      </c>
      <c r="B3" s="5" t="s">
        <v>29</v>
      </c>
      <c r="C3" s="12"/>
      <c r="D3" s="13"/>
      <c r="E3" s="13"/>
      <c r="F3" s="8">
        <f t="shared" si="0"/>
        <v>0</v>
      </c>
      <c r="G3" s="9"/>
      <c r="H3" s="14"/>
    </row>
    <row r="4" spans="1:8">
      <c r="A4" s="10" t="s">
        <v>10</v>
      </c>
      <c r="B4" s="11"/>
      <c r="C4" s="12"/>
      <c r="D4" s="13"/>
      <c r="E4" s="13"/>
      <c r="F4" s="8">
        <f t="shared" si="0"/>
        <v>0</v>
      </c>
      <c r="G4" s="9"/>
      <c r="H4" s="14"/>
    </row>
    <row r="5" spans="1:8">
      <c r="A5" s="10" t="s">
        <v>11</v>
      </c>
      <c r="B5" s="11"/>
      <c r="C5" s="12"/>
      <c r="D5" s="13"/>
      <c r="E5" s="13"/>
      <c r="F5" s="8">
        <f t="shared" si="0"/>
        <v>0</v>
      </c>
      <c r="G5" s="9"/>
      <c r="H5" s="14"/>
    </row>
    <row r="6" spans="1:8">
      <c r="A6" s="10" t="s">
        <v>12</v>
      </c>
      <c r="B6" s="11"/>
      <c r="C6" s="12"/>
      <c r="D6" s="13"/>
      <c r="E6" s="13"/>
      <c r="F6" s="8">
        <f t="shared" si="0"/>
        <v>0</v>
      </c>
      <c r="G6" s="9"/>
      <c r="H6" s="14"/>
    </row>
    <row r="7" spans="1:8">
      <c r="A7" s="10" t="s">
        <v>13</v>
      </c>
      <c r="B7" s="11"/>
      <c r="C7" s="12"/>
      <c r="D7" s="13"/>
      <c r="E7" s="13"/>
      <c r="F7" s="8">
        <f t="shared" si="0"/>
        <v>0</v>
      </c>
      <c r="G7" s="9"/>
      <c r="H7" s="14"/>
    </row>
    <row r="8" spans="1:8">
      <c r="A8" s="10" t="s">
        <v>14</v>
      </c>
      <c r="B8" s="11"/>
      <c r="C8" s="12"/>
      <c r="D8" s="13"/>
      <c r="E8" s="13"/>
      <c r="F8" s="8">
        <f t="shared" si="0"/>
        <v>0</v>
      </c>
      <c r="G8" s="9"/>
      <c r="H8" s="14"/>
    </row>
    <row r="9" spans="1:8">
      <c r="A9" s="10" t="s">
        <v>15</v>
      </c>
      <c r="B9" s="11"/>
      <c r="C9" s="12"/>
      <c r="D9" s="13"/>
      <c r="E9" s="13"/>
      <c r="F9" s="8">
        <f t="shared" si="0"/>
        <v>0</v>
      </c>
      <c r="G9" s="9"/>
      <c r="H9" s="14"/>
    </row>
    <row r="10" spans="1:8">
      <c r="A10" s="10" t="s">
        <v>16</v>
      </c>
      <c r="B10" s="11"/>
      <c r="C10" s="12"/>
      <c r="D10" s="13"/>
      <c r="E10" s="13"/>
      <c r="F10" s="8">
        <f t="shared" si="0"/>
        <v>0</v>
      </c>
      <c r="G10" s="9"/>
      <c r="H10" s="14"/>
    </row>
    <row r="11" spans="1:8">
      <c r="A11" s="10" t="s">
        <v>17</v>
      </c>
      <c r="B11" s="15"/>
      <c r="C11" s="15"/>
      <c r="D11" s="16"/>
      <c r="E11" s="16"/>
      <c r="F11" s="8">
        <f t="shared" si="0"/>
        <v>0</v>
      </c>
      <c r="G11" s="9"/>
      <c r="H11" s="15"/>
    </row>
    <row r="12" spans="1:8">
      <c r="A12" s="10" t="s">
        <v>18</v>
      </c>
      <c r="B12" s="15"/>
      <c r="C12" s="15"/>
      <c r="D12" s="16"/>
      <c r="E12" s="16"/>
      <c r="F12" s="8">
        <f t="shared" si="0"/>
        <v>0</v>
      </c>
      <c r="G12" s="9"/>
      <c r="H12" s="15"/>
    </row>
    <row r="13" spans="1:8">
      <c r="A13" s="10" t="s">
        <v>19</v>
      </c>
      <c r="B13" s="15"/>
      <c r="C13" s="15"/>
      <c r="D13" s="16"/>
      <c r="E13" s="16"/>
      <c r="F13" s="8">
        <f t="shared" si="0"/>
        <v>0</v>
      </c>
      <c r="G13" s="9"/>
      <c r="H13" s="15"/>
    </row>
    <row r="14" spans="1:8">
      <c r="A14" s="10" t="s">
        <v>20</v>
      </c>
      <c r="B14" s="15"/>
      <c r="C14" s="15"/>
      <c r="D14" s="16"/>
      <c r="E14" s="16"/>
      <c r="F14" s="8">
        <f t="shared" si="0"/>
        <v>0</v>
      </c>
      <c r="G14" s="9"/>
      <c r="H14" s="15"/>
    </row>
    <row r="15" spans="1:8">
      <c r="A15" s="10" t="s">
        <v>21</v>
      </c>
      <c r="B15" s="15"/>
      <c r="C15" s="15"/>
      <c r="D15" s="16"/>
      <c r="E15" s="16"/>
      <c r="F15" s="8">
        <f t="shared" si="0"/>
        <v>0</v>
      </c>
      <c r="G15" s="9"/>
      <c r="H15" s="15"/>
    </row>
    <row r="16" spans="1:8">
      <c r="A16" s="10" t="s">
        <v>22</v>
      </c>
      <c r="B16" s="15"/>
      <c r="C16" s="15"/>
      <c r="D16" s="16"/>
      <c r="E16" s="16"/>
      <c r="F16" s="8">
        <f t="shared" si="0"/>
        <v>0</v>
      </c>
      <c r="G16" s="9"/>
      <c r="H16" s="15"/>
    </row>
    <row r="17" spans="1:8">
      <c r="A17" s="10" t="s">
        <v>23</v>
      </c>
      <c r="B17" s="15"/>
      <c r="C17" s="15"/>
      <c r="D17" s="16"/>
      <c r="E17" s="16"/>
      <c r="F17" s="8">
        <f t="shared" si="0"/>
        <v>0</v>
      </c>
      <c r="G17" s="9"/>
      <c r="H17" s="15"/>
    </row>
    <row r="18" spans="1:8">
      <c r="A18" s="10" t="s">
        <v>24</v>
      </c>
      <c r="B18" s="15"/>
      <c r="C18" s="15"/>
      <c r="D18" s="16"/>
      <c r="E18" s="16"/>
      <c r="F18" s="8">
        <f t="shared" si="0"/>
        <v>0</v>
      </c>
      <c r="G18" s="9"/>
      <c r="H18" s="15"/>
    </row>
    <row r="19" spans="1:8">
      <c r="A19" s="10" t="s">
        <v>25</v>
      </c>
      <c r="B19" s="15"/>
      <c r="C19" s="15"/>
      <c r="D19" s="16"/>
      <c r="E19" s="16"/>
      <c r="F19" s="8">
        <f t="shared" si="0"/>
        <v>0</v>
      </c>
      <c r="G19" s="9"/>
      <c r="H19" s="15"/>
    </row>
    <row r="20" spans="1:8" ht="15" customHeight="1">
      <c r="A20" s="10" t="s">
        <v>26</v>
      </c>
      <c r="B20" s="15"/>
      <c r="C20" s="15"/>
      <c r="D20" s="16"/>
      <c r="E20" s="16"/>
      <c r="F20" s="8">
        <f t="shared" si="0"/>
        <v>0</v>
      </c>
      <c r="G20" s="9"/>
      <c r="H20" s="15"/>
    </row>
    <row r="21" spans="1:8" ht="15" customHeight="1" thickBot="1">
      <c r="A21" s="17" t="s">
        <v>27</v>
      </c>
      <c r="B21" s="18"/>
      <c r="C21" s="18"/>
      <c r="D21" s="19"/>
      <c r="E21" s="20"/>
      <c r="F21" s="21">
        <f t="shared" si="0"/>
        <v>0</v>
      </c>
      <c r="G21" s="9"/>
      <c r="H21" s="18"/>
    </row>
    <row r="22" spans="1:8" ht="15" customHeight="1" thickBot="1">
      <c r="A22" s="22"/>
      <c r="B22" s="23"/>
      <c r="C22" s="24"/>
      <c r="D22" s="25"/>
      <c r="E22" s="26" t="s">
        <v>5</v>
      </c>
      <c r="F22" s="24">
        <f>SUM(F2:F21)</f>
        <v>0</v>
      </c>
      <c r="G22" s="27"/>
      <c r="H22" s="24"/>
    </row>
    <row r="23" spans="1:8" ht="15" customHeight="1" thickBot="1"/>
    <row r="24" spans="1:8" ht="15" customHeight="1" thickBot="1">
      <c r="A24" s="1" t="s">
        <v>0</v>
      </c>
      <c r="B24" s="2" t="s">
        <v>1</v>
      </c>
      <c r="C24" s="3" t="s">
        <v>2</v>
      </c>
    </row>
    <row r="25" spans="1:8">
      <c r="A25" s="4" t="s">
        <v>8</v>
      </c>
      <c r="B25" s="5"/>
      <c r="C25" s="6"/>
    </row>
    <row r="26" spans="1:8">
      <c r="A26" s="10" t="s">
        <v>9</v>
      </c>
      <c r="B26" s="11"/>
      <c r="C26" s="12"/>
    </row>
    <row r="27" spans="1:8">
      <c r="A27" s="10" t="s">
        <v>10</v>
      </c>
      <c r="B27" s="11"/>
      <c r="C27" s="12"/>
    </row>
    <row r="28" spans="1:8">
      <c r="A28" s="10" t="s">
        <v>11</v>
      </c>
      <c r="B28" s="11"/>
      <c r="C28" s="12"/>
    </row>
    <row r="29" spans="1:8">
      <c r="A29" s="10" t="s">
        <v>12</v>
      </c>
      <c r="B29" s="11"/>
      <c r="C29" s="12"/>
    </row>
    <row r="30" spans="1:8">
      <c r="A30" s="10" t="s">
        <v>13</v>
      </c>
      <c r="B30" s="11"/>
      <c r="C30" s="12"/>
    </row>
    <row r="31" spans="1:8">
      <c r="A31" s="10" t="s">
        <v>14</v>
      </c>
      <c r="B31" s="11"/>
      <c r="C31" s="12"/>
    </row>
    <row r="32" spans="1:8">
      <c r="A32" s="10" t="s">
        <v>15</v>
      </c>
      <c r="B32" s="11"/>
      <c r="C32" s="12"/>
    </row>
    <row r="33" spans="1:6">
      <c r="A33" s="10" t="s">
        <v>16</v>
      </c>
      <c r="B33" s="11"/>
      <c r="C33" s="12"/>
    </row>
    <row r="34" spans="1:6">
      <c r="A34" s="10" t="s">
        <v>17</v>
      </c>
      <c r="B34" s="15"/>
      <c r="C34" s="15"/>
    </row>
    <row r="35" spans="1:6">
      <c r="A35" s="10" t="s">
        <v>18</v>
      </c>
      <c r="B35" s="15"/>
      <c r="C35" s="15"/>
    </row>
    <row r="36" spans="1:6">
      <c r="A36" s="10" t="s">
        <v>19</v>
      </c>
      <c r="B36" s="15"/>
      <c r="C36" s="15"/>
    </row>
    <row r="41" spans="1:6">
      <c r="C41" t="s">
        <v>32</v>
      </c>
      <c r="D41" t="s">
        <v>33</v>
      </c>
      <c r="E41" t="s">
        <v>34</v>
      </c>
      <c r="F41" t="s">
        <v>35</v>
      </c>
    </row>
    <row r="42" spans="1:6">
      <c r="B42" t="s">
        <v>31</v>
      </c>
      <c r="C42" t="s">
        <v>36</v>
      </c>
      <c r="E42">
        <v>44</v>
      </c>
      <c r="F42" t="s">
        <v>37</v>
      </c>
    </row>
    <row r="43" spans="1:6">
      <c r="B43" t="s">
        <v>30</v>
      </c>
      <c r="E43">
        <v>31</v>
      </c>
      <c r="F43" t="s">
        <v>38</v>
      </c>
    </row>
  </sheetData>
  <conditionalFormatting sqref="C2:C10">
    <cfRule type="containsText" dxfId="8" priority="7" operator="containsText" text="Low">
      <formula>NOT(ISERROR(SEARCH("Low",C2)))</formula>
    </cfRule>
    <cfRule type="containsText" dxfId="7" priority="8" operator="containsText" text="Medium">
      <formula>NOT(ISERROR(SEARCH("Medium",C2)))</formula>
    </cfRule>
    <cfRule type="containsText" dxfId="6" priority="9" operator="containsText" text="High">
      <formula>NOT(ISERROR(SEARCH("High",C2)))</formula>
    </cfRule>
  </conditionalFormatting>
  <conditionalFormatting sqref="C25:C33">
    <cfRule type="containsText" dxfId="5" priority="1" operator="containsText" text="Low">
      <formula>NOT(ISERROR(SEARCH("Low",C25)))</formula>
    </cfRule>
    <cfRule type="containsText" dxfId="4" priority="2" operator="containsText" text="Medium">
      <formula>NOT(ISERROR(SEARCH("Medium",C25)))</formula>
    </cfRule>
    <cfRule type="containsText" dxfId="3" priority="3" operator="containsText" text="High">
      <formula>NOT(ISERROR(SEARCH("High",C25)))</formula>
    </cfRule>
  </conditionalFormatting>
  <conditionalFormatting sqref="G2:G21">
    <cfRule type="expression" dxfId="2" priority="4">
      <formula>SEARCH("In-Progress", G2)</formula>
    </cfRule>
    <cfRule type="expression" dxfId="1" priority="5">
      <formula>SEARCH("Incomplete", G2)</formula>
    </cfRule>
    <cfRule type="expression" dxfId="0" priority="6">
      <formula>SEARCH("Completed", G2)</formula>
    </cfRule>
  </conditionalFormatting>
  <dataValidations count="2">
    <dataValidation type="list" allowBlank="1" showInputMessage="1" showErrorMessage="1" sqref="C2:C17 C25:C36" xr:uid="{00000000-0002-0000-0000-000000000000}">
      <formula1>"High,Medium,Low"</formula1>
    </dataValidation>
    <dataValidation type="list" allowBlank="1" showInputMessage="1" showErrorMessage="1" sqref="D18:E20 G2:G21 H18:H20" xr:uid="{00000000-0002-0000-0000-000001000000}">
      <formula1>"Completed, Incomplete, In-Progress"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4C1B-2A3D-4CC8-AB74-D0DC6BDD901C}">
  <dimension ref="A1:N78"/>
  <sheetViews>
    <sheetView workbookViewId="0">
      <selection sqref="A1:N26"/>
    </sheetView>
  </sheetViews>
  <sheetFormatPr defaultRowHeight="14.4"/>
  <cols>
    <col min="1" max="1" width="3.5546875" customWidth="1"/>
    <col min="14" max="14" width="3.6640625" customWidth="1"/>
  </cols>
  <sheetData>
    <row r="1" spans="1:14" ht="15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</row>
    <row r="2" spans="1:14" ht="21.6" thickBot="1">
      <c r="A2" s="45"/>
      <c r="B2" s="110" t="s">
        <v>39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46"/>
    </row>
    <row r="3" spans="1:14" ht="15" thickBot="1">
      <c r="A3" s="45"/>
      <c r="N3" s="46"/>
    </row>
    <row r="4" spans="1:14" ht="15" thickBot="1">
      <c r="A4" s="45"/>
      <c r="B4" s="29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7</v>
      </c>
      <c r="K4" s="3" t="s">
        <v>0</v>
      </c>
      <c r="L4" s="3" t="s">
        <v>1</v>
      </c>
      <c r="M4" s="3" t="s">
        <v>51</v>
      </c>
      <c r="N4" s="46"/>
    </row>
    <row r="5" spans="1:14">
      <c r="A5" s="45"/>
      <c r="B5" s="4" t="s">
        <v>8</v>
      </c>
      <c r="C5" s="30" t="s">
        <v>42</v>
      </c>
      <c r="D5" s="6"/>
      <c r="E5" s="31"/>
      <c r="F5" s="31"/>
      <c r="G5" s="56">
        <v>2.0833333333333332E-2</v>
      </c>
      <c r="H5" s="9"/>
      <c r="I5" s="32"/>
      <c r="K5" s="4" t="s">
        <v>8</v>
      </c>
      <c r="L5" s="55" t="s">
        <v>42</v>
      </c>
      <c r="M5" s="56">
        <v>2.0833333333333332E-2</v>
      </c>
      <c r="N5" s="46"/>
    </row>
    <row r="6" spans="1:14">
      <c r="A6" s="45"/>
      <c r="B6" s="10" t="s">
        <v>9</v>
      </c>
      <c r="C6" s="33" t="s">
        <v>43</v>
      </c>
      <c r="D6" s="12"/>
      <c r="E6" s="34"/>
      <c r="F6" s="34"/>
      <c r="G6" s="56">
        <v>6.25E-2</v>
      </c>
      <c r="H6" s="9"/>
      <c r="I6" s="35"/>
      <c r="K6" s="10" t="s">
        <v>9</v>
      </c>
      <c r="L6" s="55" t="s">
        <v>43</v>
      </c>
      <c r="M6" s="56">
        <v>6.25E-2</v>
      </c>
      <c r="N6" s="46"/>
    </row>
    <row r="7" spans="1:14">
      <c r="A7" s="45"/>
      <c r="B7" s="10" t="s">
        <v>10</v>
      </c>
      <c r="C7" s="33" t="s">
        <v>44</v>
      </c>
      <c r="D7" s="12"/>
      <c r="E7" s="34"/>
      <c r="F7" s="34"/>
      <c r="G7" s="56">
        <v>2.0833333333333332E-2</v>
      </c>
      <c r="H7" s="9"/>
      <c r="I7" s="35"/>
      <c r="K7" s="10" t="s">
        <v>10</v>
      </c>
      <c r="L7" s="55" t="s">
        <v>44</v>
      </c>
      <c r="M7" s="56">
        <v>2.0833333333333332E-2</v>
      </c>
      <c r="N7" s="46"/>
    </row>
    <row r="8" spans="1:14">
      <c r="A8" s="45"/>
      <c r="B8" s="10" t="s">
        <v>11</v>
      </c>
      <c r="C8" s="33" t="s">
        <v>45</v>
      </c>
      <c r="D8" s="12"/>
      <c r="E8" s="34"/>
      <c r="F8" s="34"/>
      <c r="G8" s="56">
        <v>1.3888888888888888E-2</v>
      </c>
      <c r="H8" s="9"/>
      <c r="I8" s="35"/>
      <c r="K8" s="10" t="s">
        <v>11</v>
      </c>
      <c r="L8" s="55" t="s">
        <v>45</v>
      </c>
      <c r="M8" s="56">
        <v>1.3888888888888888E-2</v>
      </c>
      <c r="N8" s="46"/>
    </row>
    <row r="9" spans="1:14">
      <c r="A9" s="45"/>
      <c r="B9" s="10" t="s">
        <v>12</v>
      </c>
      <c r="C9" s="33" t="s">
        <v>46</v>
      </c>
      <c r="D9" s="12"/>
      <c r="E9" s="34"/>
      <c r="F9" s="34"/>
      <c r="G9" s="56">
        <v>0.10416666666666667</v>
      </c>
      <c r="H9" s="9"/>
      <c r="I9" s="35"/>
      <c r="K9" s="10" t="s">
        <v>12</v>
      </c>
      <c r="L9" s="55" t="s">
        <v>46</v>
      </c>
      <c r="M9" s="56">
        <v>0.10416666666666667</v>
      </c>
      <c r="N9" s="46"/>
    </row>
    <row r="10" spans="1:14">
      <c r="A10" s="45"/>
      <c r="B10" s="10" t="s">
        <v>13</v>
      </c>
      <c r="C10" s="33" t="s">
        <v>47</v>
      </c>
      <c r="D10" s="12"/>
      <c r="E10" s="34"/>
      <c r="F10" s="34"/>
      <c r="G10" s="56">
        <v>1.0416666666666666E-2</v>
      </c>
      <c r="H10" s="9"/>
      <c r="I10" s="35"/>
      <c r="K10" s="10" t="s">
        <v>13</v>
      </c>
      <c r="L10" s="55" t="s">
        <v>47</v>
      </c>
      <c r="M10" s="56">
        <v>1.0416666666666666E-2</v>
      </c>
      <c r="N10" s="46"/>
    </row>
    <row r="11" spans="1:14">
      <c r="A11" s="45"/>
      <c r="B11" s="10" t="s">
        <v>14</v>
      </c>
      <c r="C11" s="33" t="s">
        <v>48</v>
      </c>
      <c r="D11" s="12"/>
      <c r="E11" s="34"/>
      <c r="F11" s="34"/>
      <c r="G11" s="56">
        <v>2.0833333333333332E-2</v>
      </c>
      <c r="H11" s="9"/>
      <c r="I11" s="35"/>
      <c r="K11" s="10" t="s">
        <v>14</v>
      </c>
      <c r="L11" s="55" t="s">
        <v>48</v>
      </c>
      <c r="M11" s="56">
        <v>2.0833333333333332E-2</v>
      </c>
      <c r="N11" s="46"/>
    </row>
    <row r="12" spans="1:14">
      <c r="A12" s="45"/>
      <c r="B12" s="10" t="s">
        <v>15</v>
      </c>
      <c r="C12" s="33" t="s">
        <v>49</v>
      </c>
      <c r="D12" s="12"/>
      <c r="E12" s="34"/>
      <c r="F12" s="34"/>
      <c r="G12" s="56">
        <v>2.0833333333333332E-2</v>
      </c>
      <c r="H12" s="9"/>
      <c r="I12" s="35"/>
      <c r="K12" s="10" t="s">
        <v>15</v>
      </c>
      <c r="L12" s="55" t="s">
        <v>49</v>
      </c>
      <c r="M12" s="56">
        <v>2.0833333333333332E-2</v>
      </c>
      <c r="N12" s="46"/>
    </row>
    <row r="13" spans="1:14">
      <c r="A13" s="45"/>
      <c r="B13" s="10" t="s">
        <v>16</v>
      </c>
      <c r="C13" s="33" t="s">
        <v>50</v>
      </c>
      <c r="D13" s="12"/>
      <c r="E13" s="34"/>
      <c r="F13" s="34"/>
      <c r="G13" s="56">
        <v>6.25E-2</v>
      </c>
      <c r="H13" s="9"/>
      <c r="I13" s="35"/>
      <c r="K13" s="10" t="s">
        <v>16</v>
      </c>
      <c r="L13" s="55" t="s">
        <v>50</v>
      </c>
      <c r="M13" s="56">
        <v>6.25E-2</v>
      </c>
      <c r="N13" s="46"/>
    </row>
    <row r="14" spans="1:14">
      <c r="A14" s="45"/>
      <c r="B14" s="10" t="s">
        <v>17</v>
      </c>
      <c r="C14" s="36"/>
      <c r="D14" s="36"/>
      <c r="E14" s="37"/>
      <c r="F14" s="37"/>
      <c r="G14" s="56">
        <f t="shared" ref="G14:G24" si="0">F14-E14</f>
        <v>0</v>
      </c>
      <c r="H14" s="9"/>
      <c r="I14" s="36"/>
      <c r="K14" s="10" t="s">
        <v>17</v>
      </c>
      <c r="L14" s="15"/>
      <c r="M14" s="15"/>
      <c r="N14" s="46"/>
    </row>
    <row r="15" spans="1:14">
      <c r="A15" s="45"/>
      <c r="B15" s="10" t="s">
        <v>18</v>
      </c>
      <c r="C15" s="36"/>
      <c r="D15" s="36"/>
      <c r="E15" s="37"/>
      <c r="F15" s="37"/>
      <c r="G15" s="56">
        <f t="shared" si="0"/>
        <v>0</v>
      </c>
      <c r="H15" s="9"/>
      <c r="I15" s="36"/>
      <c r="K15" s="10" t="s">
        <v>18</v>
      </c>
      <c r="L15" s="15"/>
      <c r="M15" s="15"/>
      <c r="N15" s="46"/>
    </row>
    <row r="16" spans="1:14" ht="15" thickBot="1">
      <c r="A16" s="45"/>
      <c r="B16" s="10" t="s">
        <v>19</v>
      </c>
      <c r="C16" s="36"/>
      <c r="D16" s="36"/>
      <c r="E16" s="37"/>
      <c r="F16" s="37"/>
      <c r="G16" s="56">
        <f t="shared" si="0"/>
        <v>0</v>
      </c>
      <c r="H16" s="9"/>
      <c r="I16" s="36"/>
      <c r="K16" s="53" t="s">
        <v>19</v>
      </c>
      <c r="L16" s="54"/>
      <c r="M16" s="54"/>
      <c r="N16" s="46"/>
    </row>
    <row r="17" spans="1:14">
      <c r="A17" s="45"/>
      <c r="B17" s="10" t="s">
        <v>20</v>
      </c>
      <c r="C17" s="36"/>
      <c r="D17" s="36"/>
      <c r="E17" s="37"/>
      <c r="F17" s="37"/>
      <c r="G17" s="56">
        <f t="shared" si="0"/>
        <v>0</v>
      </c>
      <c r="H17" s="9"/>
      <c r="I17" s="36"/>
      <c r="N17" s="46"/>
    </row>
    <row r="18" spans="1:14">
      <c r="A18" s="45"/>
      <c r="B18" s="10" t="s">
        <v>21</v>
      </c>
      <c r="C18" s="36"/>
      <c r="D18" s="36"/>
      <c r="E18" s="37"/>
      <c r="F18" s="37"/>
      <c r="G18" s="56">
        <f t="shared" si="0"/>
        <v>0</v>
      </c>
      <c r="H18" s="9"/>
      <c r="I18" s="36"/>
      <c r="N18" s="46"/>
    </row>
    <row r="19" spans="1:14">
      <c r="A19" s="45"/>
      <c r="B19" s="10" t="s">
        <v>22</v>
      </c>
      <c r="C19" s="36"/>
      <c r="D19" s="36"/>
      <c r="E19" s="37"/>
      <c r="F19" s="37"/>
      <c r="G19" s="56">
        <f t="shared" si="0"/>
        <v>0</v>
      </c>
      <c r="H19" s="9"/>
      <c r="I19" s="36"/>
      <c r="N19" s="46"/>
    </row>
    <row r="20" spans="1:14">
      <c r="A20" s="45"/>
      <c r="B20" s="10" t="s">
        <v>23</v>
      </c>
      <c r="C20" s="36"/>
      <c r="D20" s="36"/>
      <c r="E20" s="37"/>
      <c r="F20" s="37"/>
      <c r="G20" s="56">
        <f t="shared" si="0"/>
        <v>0</v>
      </c>
      <c r="H20" s="9"/>
      <c r="I20" s="36"/>
      <c r="N20" s="46"/>
    </row>
    <row r="21" spans="1:14">
      <c r="A21" s="45"/>
      <c r="B21" s="10" t="s">
        <v>24</v>
      </c>
      <c r="C21" s="36"/>
      <c r="D21" s="36"/>
      <c r="E21" s="37"/>
      <c r="F21" s="37"/>
      <c r="G21" s="56">
        <f t="shared" si="0"/>
        <v>0</v>
      </c>
      <c r="H21" s="9"/>
      <c r="I21" s="36"/>
      <c r="N21" s="46"/>
    </row>
    <row r="22" spans="1:14">
      <c r="A22" s="45"/>
      <c r="B22" s="10" t="s">
        <v>25</v>
      </c>
      <c r="C22" s="36"/>
      <c r="D22" s="36"/>
      <c r="E22" s="37"/>
      <c r="F22" s="37"/>
      <c r="G22" s="56">
        <f t="shared" si="0"/>
        <v>0</v>
      </c>
      <c r="H22" s="9"/>
      <c r="I22" s="36"/>
      <c r="N22" s="46"/>
    </row>
    <row r="23" spans="1:14">
      <c r="A23" s="45"/>
      <c r="B23" s="10" t="s">
        <v>26</v>
      </c>
      <c r="C23" s="36"/>
      <c r="D23" s="36"/>
      <c r="E23" s="37"/>
      <c r="F23" s="37"/>
      <c r="G23" s="56">
        <f t="shared" si="0"/>
        <v>0</v>
      </c>
      <c r="H23" s="9"/>
      <c r="I23" s="36"/>
      <c r="N23" s="46"/>
    </row>
    <row r="24" spans="1:14" ht="15" thickBot="1">
      <c r="A24" s="45"/>
      <c r="B24" s="17" t="s">
        <v>27</v>
      </c>
      <c r="C24" s="38"/>
      <c r="D24" s="38"/>
      <c r="E24" s="39"/>
      <c r="F24" s="39"/>
      <c r="G24" s="56">
        <f t="shared" si="0"/>
        <v>0</v>
      </c>
      <c r="H24" s="9"/>
      <c r="I24" s="38"/>
      <c r="N24" s="46"/>
    </row>
    <row r="25" spans="1:14" ht="15" thickBot="1">
      <c r="A25" s="45"/>
      <c r="B25" s="22"/>
      <c r="C25" s="40"/>
      <c r="D25" s="41"/>
      <c r="E25" s="40"/>
      <c r="F25" s="44" t="s">
        <v>5</v>
      </c>
      <c r="G25" s="42">
        <f>SUM(G5:G24)</f>
        <v>0.33680555555555552</v>
      </c>
      <c r="H25" s="43"/>
      <c r="I25" s="41"/>
      <c r="N25" s="46"/>
    </row>
    <row r="26" spans="1:14" ht="15" thickBot="1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9"/>
    </row>
    <row r="27" spans="1:14" ht="15" thickBot="1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2"/>
    </row>
    <row r="28" spans="1:14" ht="21.6" thickBot="1">
      <c r="A28" s="45"/>
      <c r="B28" s="110" t="s">
        <v>40</v>
      </c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2"/>
      <c r="N28" s="46"/>
    </row>
    <row r="29" spans="1:14" ht="15" thickBot="1">
      <c r="A29" s="45"/>
      <c r="N29" s="46"/>
    </row>
    <row r="30" spans="1:14" ht="15" thickBot="1">
      <c r="A30" s="45"/>
      <c r="B30" s="29" t="s">
        <v>0</v>
      </c>
      <c r="C30" s="28" t="s">
        <v>1</v>
      </c>
      <c r="D30" s="29" t="s">
        <v>2</v>
      </c>
      <c r="E30" s="29" t="s">
        <v>3</v>
      </c>
      <c r="F30" s="29" t="s">
        <v>4</v>
      </c>
      <c r="G30" s="29" t="s">
        <v>5</v>
      </c>
      <c r="H30" s="28" t="s">
        <v>6</v>
      </c>
      <c r="I30" s="29" t="s">
        <v>7</v>
      </c>
      <c r="K30" s="1" t="s">
        <v>0</v>
      </c>
      <c r="L30" s="3" t="s">
        <v>1</v>
      </c>
      <c r="M30" s="3" t="s">
        <v>51</v>
      </c>
      <c r="N30" s="46"/>
    </row>
    <row r="31" spans="1:14">
      <c r="A31" s="45"/>
      <c r="B31" s="4" t="s">
        <v>8</v>
      </c>
      <c r="C31" s="30" t="s">
        <v>52</v>
      </c>
      <c r="D31" s="6"/>
      <c r="E31" s="31"/>
      <c r="F31" s="31"/>
      <c r="G31" s="56">
        <v>2.0833333333333332E-2</v>
      </c>
      <c r="H31" s="9"/>
      <c r="I31" s="32"/>
      <c r="K31" s="4" t="s">
        <v>8</v>
      </c>
      <c r="L31" s="30" t="s">
        <v>52</v>
      </c>
      <c r="M31" s="56">
        <v>2.0833333333333332E-2</v>
      </c>
      <c r="N31" s="46"/>
    </row>
    <row r="32" spans="1:14">
      <c r="A32" s="45"/>
      <c r="B32" s="10" t="s">
        <v>9</v>
      </c>
      <c r="C32" s="33" t="s">
        <v>53</v>
      </c>
      <c r="D32" s="12"/>
      <c r="E32" s="34"/>
      <c r="F32" s="34"/>
      <c r="G32" s="56">
        <v>0.125</v>
      </c>
      <c r="H32" s="9"/>
      <c r="I32" s="35"/>
      <c r="K32" s="10" t="s">
        <v>9</v>
      </c>
      <c r="L32" s="33" t="s">
        <v>53</v>
      </c>
      <c r="M32" s="56">
        <v>0.125</v>
      </c>
      <c r="N32" s="46"/>
    </row>
    <row r="33" spans="1:14">
      <c r="A33" s="45"/>
      <c r="B33" s="10" t="s">
        <v>10</v>
      </c>
      <c r="C33" s="33" t="s">
        <v>47</v>
      </c>
      <c r="D33" s="12"/>
      <c r="E33" s="34"/>
      <c r="F33" s="34"/>
      <c r="G33" s="56">
        <v>2.0833333333333332E-2</v>
      </c>
      <c r="H33" s="9"/>
      <c r="I33" s="35"/>
      <c r="K33" s="10" t="s">
        <v>10</v>
      </c>
      <c r="L33" s="33" t="s">
        <v>47</v>
      </c>
      <c r="M33" s="56">
        <v>2.0833333333333332E-2</v>
      </c>
      <c r="N33" s="46"/>
    </row>
    <row r="34" spans="1:14">
      <c r="A34" s="45"/>
      <c r="B34" s="10" t="s">
        <v>11</v>
      </c>
      <c r="C34" s="33" t="s">
        <v>48</v>
      </c>
      <c r="D34" s="12"/>
      <c r="E34" s="34"/>
      <c r="F34" s="34"/>
      <c r="G34" s="56">
        <v>2.7777777777777776E-2</v>
      </c>
      <c r="H34" s="9"/>
      <c r="I34" s="35"/>
      <c r="K34" s="10" t="s">
        <v>11</v>
      </c>
      <c r="L34" s="33" t="s">
        <v>48</v>
      </c>
      <c r="M34" s="56">
        <v>2.7777777777777776E-2</v>
      </c>
      <c r="N34" s="46"/>
    </row>
    <row r="35" spans="1:14">
      <c r="A35" s="45"/>
      <c r="B35" s="10" t="s">
        <v>12</v>
      </c>
      <c r="C35" s="33" t="s">
        <v>54</v>
      </c>
      <c r="D35" s="12"/>
      <c r="E35" s="34"/>
      <c r="F35" s="34"/>
      <c r="G35" s="56">
        <v>4.1666666666666664E-2</v>
      </c>
      <c r="H35" s="9"/>
      <c r="I35" s="35"/>
      <c r="K35" s="10" t="s">
        <v>12</v>
      </c>
      <c r="L35" s="33" t="s">
        <v>54</v>
      </c>
      <c r="M35" s="56">
        <v>4.1666666666666664E-2</v>
      </c>
      <c r="N35" s="46"/>
    </row>
    <row r="36" spans="1:14">
      <c r="A36" s="45"/>
      <c r="B36" s="10" t="s">
        <v>13</v>
      </c>
      <c r="C36" s="33" t="s">
        <v>49</v>
      </c>
      <c r="D36" s="12"/>
      <c r="E36" s="34"/>
      <c r="F36" s="34"/>
      <c r="G36" s="56">
        <v>2.0833333333333332E-2</v>
      </c>
      <c r="H36" s="9"/>
      <c r="I36" s="35"/>
      <c r="K36" s="10" t="s">
        <v>13</v>
      </c>
      <c r="L36" s="33" t="s">
        <v>49</v>
      </c>
      <c r="M36" s="56">
        <v>2.0833333333333332E-2</v>
      </c>
      <c r="N36" s="46"/>
    </row>
    <row r="37" spans="1:14">
      <c r="A37" s="45"/>
      <c r="B37" s="10" t="s">
        <v>14</v>
      </c>
      <c r="C37" s="33" t="s">
        <v>50</v>
      </c>
      <c r="D37" s="12"/>
      <c r="E37" s="34"/>
      <c r="F37" s="34"/>
      <c r="G37" s="56">
        <v>7.2916666666666671E-2</v>
      </c>
      <c r="H37" s="9"/>
      <c r="I37" s="35"/>
      <c r="K37" s="10" t="s">
        <v>14</v>
      </c>
      <c r="L37" s="33" t="s">
        <v>50</v>
      </c>
      <c r="M37" s="56">
        <v>7.2916666666666671E-2</v>
      </c>
      <c r="N37" s="46"/>
    </row>
    <row r="38" spans="1:14">
      <c r="A38" s="45"/>
      <c r="B38" s="10" t="s">
        <v>15</v>
      </c>
      <c r="C38" s="33"/>
      <c r="D38" s="12"/>
      <c r="E38" s="34"/>
      <c r="F38" s="34"/>
      <c r="G38" s="56">
        <f>F41-E41</f>
        <v>0</v>
      </c>
      <c r="H38" s="9"/>
      <c r="I38" s="35"/>
      <c r="K38" s="10" t="s">
        <v>15</v>
      </c>
      <c r="L38" s="11"/>
      <c r="M38" s="56"/>
      <c r="N38" s="46"/>
    </row>
    <row r="39" spans="1:14">
      <c r="A39" s="45"/>
      <c r="B39" s="10" t="s">
        <v>16</v>
      </c>
      <c r="C39" s="33"/>
      <c r="D39" s="12"/>
      <c r="E39" s="34"/>
      <c r="F39" s="34"/>
      <c r="G39" s="56">
        <f>F42-E42</f>
        <v>0</v>
      </c>
      <c r="H39" s="9"/>
      <c r="I39" s="35"/>
      <c r="K39" s="10" t="s">
        <v>16</v>
      </c>
      <c r="L39" s="11"/>
      <c r="M39" s="12"/>
      <c r="N39" s="46"/>
    </row>
    <row r="40" spans="1:14">
      <c r="A40" s="45"/>
      <c r="B40" s="10" t="s">
        <v>17</v>
      </c>
      <c r="C40" s="36"/>
      <c r="D40" s="36"/>
      <c r="E40" s="37"/>
      <c r="F40" s="37"/>
      <c r="G40" s="56">
        <f>F43-E43</f>
        <v>0</v>
      </c>
      <c r="H40" s="9"/>
      <c r="I40" s="36"/>
      <c r="K40" s="10" t="s">
        <v>17</v>
      </c>
      <c r="L40" s="15"/>
      <c r="M40" s="15"/>
      <c r="N40" s="46"/>
    </row>
    <row r="41" spans="1:14">
      <c r="A41" s="45"/>
      <c r="B41" s="10" t="s">
        <v>18</v>
      </c>
      <c r="C41" s="36"/>
      <c r="D41" s="36"/>
      <c r="E41" s="37"/>
      <c r="F41" s="37"/>
      <c r="G41" s="56">
        <f>F44-E44</f>
        <v>0</v>
      </c>
      <c r="H41" s="9"/>
      <c r="I41" s="36"/>
      <c r="K41" s="10" t="s">
        <v>18</v>
      </c>
      <c r="L41" s="15"/>
      <c r="M41" s="15"/>
      <c r="N41" s="46"/>
    </row>
    <row r="42" spans="1:14" ht="15" thickBot="1">
      <c r="A42" s="45"/>
      <c r="B42" s="10" t="s">
        <v>19</v>
      </c>
      <c r="C42" s="36"/>
      <c r="D42" s="36"/>
      <c r="E42" s="37"/>
      <c r="F42" s="37"/>
      <c r="G42" s="56">
        <f>F45-E45</f>
        <v>0</v>
      </c>
      <c r="H42" s="9"/>
      <c r="I42" s="36"/>
      <c r="K42" s="53" t="s">
        <v>19</v>
      </c>
      <c r="L42" s="54"/>
      <c r="M42" s="54"/>
      <c r="N42" s="46"/>
    </row>
    <row r="43" spans="1:14">
      <c r="A43" s="45"/>
      <c r="B43" s="10" t="s">
        <v>20</v>
      </c>
      <c r="C43" s="36"/>
      <c r="D43" s="36"/>
      <c r="E43" s="37"/>
      <c r="F43" s="37"/>
      <c r="G43" s="56">
        <f t="shared" ref="G43:G50" si="1">F43-E43</f>
        <v>0</v>
      </c>
      <c r="H43" s="9"/>
      <c r="I43" s="36"/>
      <c r="N43" s="46"/>
    </row>
    <row r="44" spans="1:14">
      <c r="A44" s="45"/>
      <c r="B44" s="10" t="s">
        <v>21</v>
      </c>
      <c r="C44" s="36"/>
      <c r="D44" s="36"/>
      <c r="E44" s="37"/>
      <c r="F44" s="37"/>
      <c r="G44" s="56">
        <f t="shared" si="1"/>
        <v>0</v>
      </c>
      <c r="H44" s="9"/>
      <c r="I44" s="36"/>
      <c r="N44" s="46"/>
    </row>
    <row r="45" spans="1:14" ht="16.95" customHeight="1">
      <c r="A45" s="45"/>
      <c r="B45" s="10" t="s">
        <v>22</v>
      </c>
      <c r="C45" s="36"/>
      <c r="D45" s="36"/>
      <c r="E45" s="37"/>
      <c r="F45" s="37"/>
      <c r="G45" s="56">
        <f t="shared" si="1"/>
        <v>0</v>
      </c>
      <c r="H45" s="9"/>
      <c r="I45" s="36"/>
      <c r="N45" s="46"/>
    </row>
    <row r="46" spans="1:14">
      <c r="A46" s="45"/>
      <c r="B46" s="10" t="s">
        <v>23</v>
      </c>
      <c r="C46" s="36"/>
      <c r="D46" s="36"/>
      <c r="E46" s="37"/>
      <c r="F46" s="37"/>
      <c r="G46" s="56">
        <f t="shared" si="1"/>
        <v>0</v>
      </c>
      <c r="H46" s="9"/>
      <c r="I46" s="36"/>
      <c r="N46" s="46"/>
    </row>
    <row r="47" spans="1:14">
      <c r="A47" s="45"/>
      <c r="B47" s="10" t="s">
        <v>24</v>
      </c>
      <c r="C47" s="36"/>
      <c r="D47" s="36"/>
      <c r="E47" s="37"/>
      <c r="F47" s="37"/>
      <c r="G47" s="56">
        <f t="shared" si="1"/>
        <v>0</v>
      </c>
      <c r="H47" s="9"/>
      <c r="I47" s="36"/>
      <c r="N47" s="46"/>
    </row>
    <row r="48" spans="1:14">
      <c r="A48" s="45"/>
      <c r="B48" s="10" t="s">
        <v>25</v>
      </c>
      <c r="C48" s="36"/>
      <c r="D48" s="36"/>
      <c r="E48" s="37"/>
      <c r="F48" s="37"/>
      <c r="G48" s="56">
        <f t="shared" si="1"/>
        <v>0</v>
      </c>
      <c r="H48" s="9"/>
      <c r="I48" s="36"/>
      <c r="N48" s="46"/>
    </row>
    <row r="49" spans="1:14">
      <c r="A49" s="45"/>
      <c r="B49" s="10" t="s">
        <v>26</v>
      </c>
      <c r="C49" s="36"/>
      <c r="D49" s="36"/>
      <c r="E49" s="37"/>
      <c r="F49" s="37"/>
      <c r="G49" s="56">
        <f t="shared" si="1"/>
        <v>0</v>
      </c>
      <c r="H49" s="9"/>
      <c r="I49" s="36"/>
      <c r="N49" s="46"/>
    </row>
    <row r="50" spans="1:14" ht="15" thickBot="1">
      <c r="A50" s="45"/>
      <c r="B50" s="17" t="s">
        <v>27</v>
      </c>
      <c r="C50" s="38"/>
      <c r="D50" s="38"/>
      <c r="E50" s="39"/>
      <c r="F50" s="39"/>
      <c r="G50" s="56">
        <f t="shared" si="1"/>
        <v>0</v>
      </c>
      <c r="H50" s="9"/>
      <c r="I50" s="38"/>
      <c r="N50" s="46"/>
    </row>
    <row r="51" spans="1:14" ht="15" thickBot="1">
      <c r="A51" s="45"/>
      <c r="B51" s="22"/>
      <c r="C51" s="43"/>
      <c r="D51" s="41"/>
      <c r="E51" s="40"/>
      <c r="F51" s="44" t="s">
        <v>5</v>
      </c>
      <c r="G51" s="42">
        <f>SUM(G31:G50)</f>
        <v>0.32986111111111116</v>
      </c>
      <c r="H51" s="43"/>
      <c r="I51" s="41"/>
      <c r="N51" s="46"/>
    </row>
    <row r="52" spans="1:14" ht="15" thickBot="1">
      <c r="A52" s="47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9"/>
    </row>
    <row r="53" spans="1:14" ht="15" thickBot="1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2"/>
    </row>
    <row r="54" spans="1:14" ht="21.6" thickBot="1">
      <c r="A54" s="45"/>
      <c r="B54" s="110" t="s">
        <v>41</v>
      </c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2"/>
      <c r="N54" s="46"/>
    </row>
    <row r="55" spans="1:14" ht="15" thickBot="1">
      <c r="A55" s="45"/>
      <c r="N55" s="46"/>
    </row>
    <row r="56" spans="1:14" ht="15" thickBot="1">
      <c r="A56" s="45"/>
      <c r="B56" s="29" t="s">
        <v>0</v>
      </c>
      <c r="C56" s="28" t="s">
        <v>1</v>
      </c>
      <c r="D56" s="29" t="s">
        <v>2</v>
      </c>
      <c r="E56" s="29" t="s">
        <v>3</v>
      </c>
      <c r="F56" s="29" t="s">
        <v>4</v>
      </c>
      <c r="G56" s="29" t="s">
        <v>5</v>
      </c>
      <c r="H56" s="28" t="s">
        <v>6</v>
      </c>
      <c r="I56" s="29" t="s">
        <v>7</v>
      </c>
      <c r="K56" s="1" t="s">
        <v>0</v>
      </c>
      <c r="L56" s="3" t="s">
        <v>1</v>
      </c>
      <c r="M56" s="3" t="s">
        <v>51</v>
      </c>
      <c r="N56" s="46"/>
    </row>
    <row r="57" spans="1:14">
      <c r="A57" s="45"/>
      <c r="B57" s="4" t="s">
        <v>8</v>
      </c>
      <c r="C57" s="30" t="s">
        <v>55</v>
      </c>
      <c r="D57" s="6"/>
      <c r="E57" s="31"/>
      <c r="F57" s="31"/>
      <c r="G57" s="56">
        <v>2.0833333333333332E-2</v>
      </c>
      <c r="H57" s="9"/>
      <c r="I57" s="32"/>
      <c r="K57" s="4" t="s">
        <v>8</v>
      </c>
      <c r="L57" s="30" t="s">
        <v>55</v>
      </c>
      <c r="M57" s="56">
        <v>2.0833333333333332E-2</v>
      </c>
      <c r="N57" s="46"/>
    </row>
    <row r="58" spans="1:14">
      <c r="A58" s="45"/>
      <c r="B58" s="10" t="s">
        <v>9</v>
      </c>
      <c r="C58" s="33" t="s">
        <v>56</v>
      </c>
      <c r="D58" s="12"/>
      <c r="E58" s="34"/>
      <c r="F58" s="34"/>
      <c r="G58" s="56">
        <v>6.25E-2</v>
      </c>
      <c r="H58" s="9"/>
      <c r="I58" s="35"/>
      <c r="K58" s="10" t="s">
        <v>9</v>
      </c>
      <c r="L58" s="33" t="s">
        <v>56</v>
      </c>
      <c r="M58" s="56">
        <v>6.25E-2</v>
      </c>
      <c r="N58" s="46"/>
    </row>
    <row r="59" spans="1:14">
      <c r="A59" s="45"/>
      <c r="B59" s="10" t="s">
        <v>10</v>
      </c>
      <c r="C59" s="33" t="s">
        <v>47</v>
      </c>
      <c r="D59" s="12"/>
      <c r="E59" s="34"/>
      <c r="F59" s="34"/>
      <c r="G59" s="56">
        <v>2.0833333333333332E-2</v>
      </c>
      <c r="H59" s="9"/>
      <c r="I59" s="35"/>
      <c r="K59" s="10" t="s">
        <v>10</v>
      </c>
      <c r="L59" s="33" t="s">
        <v>47</v>
      </c>
      <c r="M59" s="56">
        <v>2.0833333333333332E-2</v>
      </c>
      <c r="N59" s="46"/>
    </row>
    <row r="60" spans="1:14">
      <c r="A60" s="45"/>
      <c r="B60" s="10" t="s">
        <v>11</v>
      </c>
      <c r="C60" s="33" t="s">
        <v>48</v>
      </c>
      <c r="D60" s="12"/>
      <c r="E60" s="34"/>
      <c r="F60" s="34"/>
      <c r="G60" s="56">
        <v>8.3333333333333329E-2</v>
      </c>
      <c r="H60" s="9"/>
      <c r="I60" s="35"/>
      <c r="K60" s="10" t="s">
        <v>11</v>
      </c>
      <c r="L60" s="33" t="s">
        <v>48</v>
      </c>
      <c r="M60" s="56">
        <v>8.3333333333333329E-2</v>
      </c>
      <c r="N60" s="46"/>
    </row>
    <row r="61" spans="1:14">
      <c r="A61" s="45"/>
      <c r="B61" s="10" t="s">
        <v>12</v>
      </c>
      <c r="C61" s="33" t="s">
        <v>54</v>
      </c>
      <c r="D61" s="12"/>
      <c r="E61" s="34"/>
      <c r="F61" s="34"/>
      <c r="G61" s="56">
        <v>4.1666666666666664E-2</v>
      </c>
      <c r="H61" s="9"/>
      <c r="I61" s="35"/>
      <c r="K61" s="10" t="s">
        <v>12</v>
      </c>
      <c r="L61" s="33" t="s">
        <v>54</v>
      </c>
      <c r="M61" s="56">
        <v>4.1666666666666664E-2</v>
      </c>
      <c r="N61" s="46"/>
    </row>
    <row r="62" spans="1:14">
      <c r="A62" s="45"/>
      <c r="B62" s="10" t="s">
        <v>13</v>
      </c>
      <c r="C62" s="33" t="s">
        <v>49</v>
      </c>
      <c r="D62" s="12"/>
      <c r="E62" s="34"/>
      <c r="F62" s="34"/>
      <c r="G62" s="56">
        <v>1.3888888888888888E-2</v>
      </c>
      <c r="H62" s="9"/>
      <c r="I62" s="35"/>
      <c r="K62" s="10" t="s">
        <v>13</v>
      </c>
      <c r="L62" s="33" t="s">
        <v>49</v>
      </c>
      <c r="M62" s="56">
        <v>1.3888888888888888E-2</v>
      </c>
      <c r="N62" s="46"/>
    </row>
    <row r="63" spans="1:14">
      <c r="A63" s="45"/>
      <c r="B63" s="10" t="s">
        <v>14</v>
      </c>
      <c r="C63" s="33" t="s">
        <v>50</v>
      </c>
      <c r="D63" s="12"/>
      <c r="E63" s="34"/>
      <c r="F63" s="34"/>
      <c r="G63" s="56">
        <v>4.1666666666666664E-2</v>
      </c>
      <c r="H63" s="9"/>
      <c r="I63" s="35"/>
      <c r="K63" s="10" t="s">
        <v>14</v>
      </c>
      <c r="L63" s="33" t="s">
        <v>50</v>
      </c>
      <c r="M63" s="56">
        <v>4.1666666666666664E-2</v>
      </c>
      <c r="N63" s="46"/>
    </row>
    <row r="64" spans="1:14">
      <c r="A64" s="45"/>
      <c r="B64" s="10" t="s">
        <v>15</v>
      </c>
      <c r="C64" s="33" t="s">
        <v>49</v>
      </c>
      <c r="D64" s="12"/>
      <c r="E64" s="34"/>
      <c r="F64" s="34"/>
      <c r="G64" s="56">
        <v>1.3888888888888888E-2</v>
      </c>
      <c r="H64" s="9"/>
      <c r="I64" s="35"/>
      <c r="K64" s="10" t="s">
        <v>15</v>
      </c>
      <c r="L64" s="33" t="s">
        <v>49</v>
      </c>
      <c r="M64" s="56">
        <v>1.3888888888888888E-2</v>
      </c>
      <c r="N64" s="46"/>
    </row>
    <row r="65" spans="1:14">
      <c r="A65" s="45"/>
      <c r="B65" s="10" t="s">
        <v>16</v>
      </c>
      <c r="C65" s="33" t="s">
        <v>50</v>
      </c>
      <c r="D65" s="12"/>
      <c r="E65" s="34"/>
      <c r="F65" s="34"/>
      <c r="G65" s="56">
        <v>4.1666666666666664E-2</v>
      </c>
      <c r="H65" s="9"/>
      <c r="I65" s="35"/>
      <c r="K65" s="10" t="s">
        <v>16</v>
      </c>
      <c r="L65" s="33" t="s">
        <v>50</v>
      </c>
      <c r="M65" s="56">
        <v>4.1666666666666664E-2</v>
      </c>
      <c r="N65" s="46"/>
    </row>
    <row r="66" spans="1:14">
      <c r="A66" s="45"/>
      <c r="B66" s="10" t="s">
        <v>17</v>
      </c>
      <c r="C66" s="36"/>
      <c r="D66" s="36"/>
      <c r="E66" s="37"/>
      <c r="F66" s="37"/>
      <c r="G66" s="56">
        <f t="shared" ref="G66:G76" si="2">F66-E66</f>
        <v>0</v>
      </c>
      <c r="H66" s="9"/>
      <c r="I66" s="36"/>
      <c r="K66" s="10" t="s">
        <v>17</v>
      </c>
      <c r="L66" s="15"/>
      <c r="M66" s="56"/>
      <c r="N66" s="46"/>
    </row>
    <row r="67" spans="1:14">
      <c r="A67" s="45"/>
      <c r="B67" s="10" t="s">
        <v>18</v>
      </c>
      <c r="C67" s="36"/>
      <c r="D67" s="36"/>
      <c r="E67" s="37"/>
      <c r="F67" s="37"/>
      <c r="G67" s="56">
        <f t="shared" si="2"/>
        <v>0</v>
      </c>
      <c r="H67" s="9"/>
      <c r="I67" s="36"/>
      <c r="K67" s="10" t="s">
        <v>18</v>
      </c>
      <c r="L67" s="15"/>
      <c r="M67" s="56"/>
      <c r="N67" s="46"/>
    </row>
    <row r="68" spans="1:14" ht="15" thickBot="1">
      <c r="A68" s="45"/>
      <c r="B68" s="10" t="s">
        <v>19</v>
      </c>
      <c r="C68" s="36"/>
      <c r="D68" s="36"/>
      <c r="E68" s="37"/>
      <c r="F68" s="37"/>
      <c r="G68" s="56">
        <f t="shared" si="2"/>
        <v>0</v>
      </c>
      <c r="H68" s="9"/>
      <c r="I68" s="36"/>
      <c r="K68" s="53" t="s">
        <v>19</v>
      </c>
      <c r="L68" s="54"/>
      <c r="M68" s="56"/>
      <c r="N68" s="46"/>
    </row>
    <row r="69" spans="1:14">
      <c r="A69" s="45"/>
      <c r="B69" s="10" t="s">
        <v>20</v>
      </c>
      <c r="C69" s="36"/>
      <c r="D69" s="36"/>
      <c r="E69" s="37"/>
      <c r="F69" s="37"/>
      <c r="G69" s="56">
        <f t="shared" si="2"/>
        <v>0</v>
      </c>
      <c r="H69" s="9"/>
      <c r="I69" s="36"/>
      <c r="M69" s="56"/>
      <c r="N69" s="46"/>
    </row>
    <row r="70" spans="1:14">
      <c r="A70" s="45"/>
      <c r="B70" s="10" t="s">
        <v>21</v>
      </c>
      <c r="C70" s="36"/>
      <c r="D70" s="36"/>
      <c r="E70" s="37"/>
      <c r="F70" s="37"/>
      <c r="G70" s="56">
        <f t="shared" si="2"/>
        <v>0</v>
      </c>
      <c r="H70" s="9"/>
      <c r="I70" s="36"/>
      <c r="N70" s="46"/>
    </row>
    <row r="71" spans="1:14">
      <c r="A71" s="45"/>
      <c r="B71" s="10" t="s">
        <v>22</v>
      </c>
      <c r="C71" s="36"/>
      <c r="D71" s="36"/>
      <c r="E71" s="37"/>
      <c r="F71" s="37"/>
      <c r="G71" s="56">
        <f t="shared" si="2"/>
        <v>0</v>
      </c>
      <c r="H71" s="9"/>
      <c r="I71" s="36"/>
      <c r="N71" s="46"/>
    </row>
    <row r="72" spans="1:14">
      <c r="A72" s="45"/>
      <c r="B72" s="10" t="s">
        <v>23</v>
      </c>
      <c r="C72" s="36"/>
      <c r="D72" s="36"/>
      <c r="E72" s="37"/>
      <c r="F72" s="37"/>
      <c r="G72" s="56">
        <f t="shared" si="2"/>
        <v>0</v>
      </c>
      <c r="H72" s="9"/>
      <c r="I72" s="36"/>
      <c r="N72" s="46"/>
    </row>
    <row r="73" spans="1:14">
      <c r="A73" s="45"/>
      <c r="B73" s="10" t="s">
        <v>24</v>
      </c>
      <c r="C73" s="36"/>
      <c r="D73" s="36"/>
      <c r="E73" s="37"/>
      <c r="F73" s="37"/>
      <c r="G73" s="56">
        <f t="shared" si="2"/>
        <v>0</v>
      </c>
      <c r="H73" s="9"/>
      <c r="I73" s="36"/>
      <c r="N73" s="46"/>
    </row>
    <row r="74" spans="1:14">
      <c r="A74" s="45"/>
      <c r="B74" s="10" t="s">
        <v>25</v>
      </c>
      <c r="C74" s="36"/>
      <c r="D74" s="36"/>
      <c r="E74" s="37"/>
      <c r="F74" s="37"/>
      <c r="G74" s="56">
        <f t="shared" si="2"/>
        <v>0</v>
      </c>
      <c r="H74" s="9"/>
      <c r="I74" s="36"/>
      <c r="N74" s="46"/>
    </row>
    <row r="75" spans="1:14">
      <c r="A75" s="45"/>
      <c r="B75" s="10" t="s">
        <v>26</v>
      </c>
      <c r="C75" s="36"/>
      <c r="D75" s="36"/>
      <c r="E75" s="37"/>
      <c r="F75" s="37"/>
      <c r="G75" s="56">
        <f t="shared" si="2"/>
        <v>0</v>
      </c>
      <c r="H75" s="9"/>
      <c r="I75" s="36"/>
      <c r="N75" s="46"/>
    </row>
    <row r="76" spans="1:14" ht="15" thickBot="1">
      <c r="A76" s="45"/>
      <c r="B76" s="17" t="s">
        <v>27</v>
      </c>
      <c r="C76" s="38"/>
      <c r="D76" s="38"/>
      <c r="E76" s="39"/>
      <c r="F76" s="39"/>
      <c r="G76" s="56">
        <f t="shared" si="2"/>
        <v>0</v>
      </c>
      <c r="H76" s="9"/>
      <c r="I76" s="38"/>
      <c r="N76" s="46"/>
    </row>
    <row r="77" spans="1:14" ht="15" thickBot="1">
      <c r="A77" s="45"/>
      <c r="B77" s="22"/>
      <c r="C77" s="43"/>
      <c r="D77" s="41"/>
      <c r="E77" s="40"/>
      <c r="F77" s="44" t="s">
        <v>5</v>
      </c>
      <c r="G77" s="42">
        <f>SUM(G57:G76)</f>
        <v>0.34027777777777779</v>
      </c>
      <c r="H77" s="43"/>
      <c r="I77" s="41"/>
      <c r="N77" s="46"/>
    </row>
    <row r="78" spans="1:14" ht="15" thickBot="1">
      <c r="A78" s="47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9"/>
    </row>
  </sheetData>
  <mergeCells count="3">
    <mergeCell ref="B2:M2"/>
    <mergeCell ref="B28:M28"/>
    <mergeCell ref="B54:M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A0FE-52FF-4937-ACC3-1240784BABAA}">
  <dimension ref="A1:V269"/>
  <sheetViews>
    <sheetView topLeftCell="A244" workbookViewId="0">
      <selection activeCell="A244" sqref="A244:N269"/>
    </sheetView>
  </sheetViews>
  <sheetFormatPr defaultRowHeight="14.4"/>
  <cols>
    <col min="1" max="1" width="3.5546875" customWidth="1"/>
    <col min="14" max="14" width="3.6640625" customWidth="1"/>
  </cols>
  <sheetData>
    <row r="1" spans="1:14" ht="15" thickBot="1">
      <c r="A1" s="50" t="s">
        <v>71</v>
      </c>
      <c r="B1" s="51" t="s">
        <v>71</v>
      </c>
      <c r="C1" s="51" t="s">
        <v>71</v>
      </c>
      <c r="D1" s="51" t="s">
        <v>71</v>
      </c>
      <c r="E1" s="51" t="s">
        <v>71</v>
      </c>
      <c r="F1" s="51" t="s">
        <v>71</v>
      </c>
      <c r="G1" s="51" t="s">
        <v>71</v>
      </c>
      <c r="H1" s="51" t="s">
        <v>71</v>
      </c>
      <c r="I1" s="51" t="s">
        <v>71</v>
      </c>
      <c r="J1" s="51" t="s">
        <v>71</v>
      </c>
      <c r="K1" s="51" t="s">
        <v>71</v>
      </c>
      <c r="L1" s="51" t="s">
        <v>71</v>
      </c>
      <c r="M1" s="51" t="s">
        <v>71</v>
      </c>
      <c r="N1" s="52" t="s">
        <v>71</v>
      </c>
    </row>
    <row r="2" spans="1:14" ht="21.6" thickBot="1">
      <c r="A2" s="45" t="s">
        <v>71</v>
      </c>
      <c r="B2" s="110" t="s">
        <v>57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46"/>
    </row>
    <row r="3" spans="1:14" ht="15" thickBot="1">
      <c r="A3" s="45" t="s">
        <v>71</v>
      </c>
      <c r="N3" s="46"/>
    </row>
    <row r="4" spans="1:14" ht="15" thickBot="1">
      <c r="A4" s="45" t="s">
        <v>71</v>
      </c>
      <c r="B4" s="29" t="s">
        <v>0</v>
      </c>
      <c r="C4" s="29" t="s">
        <v>1</v>
      </c>
      <c r="D4" s="29" t="s">
        <v>2</v>
      </c>
      <c r="E4" s="29" t="s">
        <v>3</v>
      </c>
      <c r="F4" s="29" t="s">
        <v>4</v>
      </c>
      <c r="G4" s="29" t="s">
        <v>5</v>
      </c>
      <c r="H4" s="29" t="s">
        <v>6</v>
      </c>
      <c r="I4" s="29" t="s">
        <v>7</v>
      </c>
      <c r="K4" s="29" t="s">
        <v>0</v>
      </c>
      <c r="L4" s="29" t="s">
        <v>1</v>
      </c>
      <c r="M4" s="3" t="s">
        <v>51</v>
      </c>
      <c r="N4" s="46"/>
    </row>
    <row r="5" spans="1:14">
      <c r="A5" s="45" t="s">
        <v>71</v>
      </c>
      <c r="B5" s="4" t="s">
        <v>8</v>
      </c>
      <c r="C5" s="30" t="s">
        <v>63</v>
      </c>
      <c r="D5" s="6"/>
      <c r="E5" s="31"/>
      <c r="F5" s="31"/>
      <c r="G5" s="56">
        <v>1.7361111111111112E-2</v>
      </c>
      <c r="H5" s="9"/>
      <c r="I5" s="32"/>
      <c r="K5" s="4" t="s">
        <v>8</v>
      </c>
      <c r="L5" s="30" t="s">
        <v>63</v>
      </c>
      <c r="M5" s="56">
        <v>1.7361111111111112E-2</v>
      </c>
      <c r="N5" s="46"/>
    </row>
    <row r="6" spans="1:14">
      <c r="A6" s="45" t="s">
        <v>71</v>
      </c>
      <c r="B6" s="10" t="s">
        <v>9</v>
      </c>
      <c r="C6" s="30" t="s">
        <v>64</v>
      </c>
      <c r="D6" s="12"/>
      <c r="E6" s="34"/>
      <c r="F6" s="34"/>
      <c r="G6" s="56">
        <v>1.7361111111111112E-2</v>
      </c>
      <c r="H6" s="9"/>
      <c r="I6" s="35"/>
      <c r="K6" s="10" t="s">
        <v>9</v>
      </c>
      <c r="L6" s="30" t="s">
        <v>64</v>
      </c>
      <c r="M6" s="56">
        <v>1.7361111111111112E-2</v>
      </c>
      <c r="N6" s="46"/>
    </row>
    <row r="7" spans="1:14">
      <c r="A7" s="45" t="s">
        <v>71</v>
      </c>
      <c r="B7" s="10" t="s">
        <v>10</v>
      </c>
      <c r="C7" s="33" t="s">
        <v>68</v>
      </c>
      <c r="D7" s="12"/>
      <c r="E7" s="34"/>
      <c r="F7" s="34"/>
      <c r="G7" s="56">
        <v>2.0833333333333332E-2</v>
      </c>
      <c r="H7" s="9"/>
      <c r="I7" s="35"/>
      <c r="K7" s="10" t="s">
        <v>10</v>
      </c>
      <c r="L7" s="33" t="s">
        <v>68</v>
      </c>
      <c r="M7" s="56">
        <v>2.0833333333333332E-2</v>
      </c>
      <c r="N7" s="46"/>
    </row>
    <row r="8" spans="1:14">
      <c r="A8" s="45" t="s">
        <v>71</v>
      </c>
      <c r="B8" s="10" t="s">
        <v>11</v>
      </c>
      <c r="C8" s="33" t="s">
        <v>69</v>
      </c>
      <c r="D8" s="12"/>
      <c r="E8" s="34"/>
      <c r="F8" s="34"/>
      <c r="G8" s="56">
        <v>2.0833333333333332E-2</v>
      </c>
      <c r="H8" s="9"/>
      <c r="I8" s="35"/>
      <c r="K8" s="10" t="s">
        <v>11</v>
      </c>
      <c r="L8" s="33" t="s">
        <v>69</v>
      </c>
      <c r="M8" s="56">
        <v>2.0833333333333332E-2</v>
      </c>
      <c r="N8" s="46"/>
    </row>
    <row r="9" spans="1:14">
      <c r="A9" s="45" t="s">
        <v>71</v>
      </c>
      <c r="B9" s="10" t="s">
        <v>12</v>
      </c>
      <c r="C9" s="33" t="s">
        <v>66</v>
      </c>
      <c r="D9" s="12"/>
      <c r="E9" s="34"/>
      <c r="F9" s="34"/>
      <c r="G9" s="56">
        <v>2.4305555555555556E-2</v>
      </c>
      <c r="H9" s="9"/>
      <c r="I9" s="35"/>
      <c r="K9" s="10" t="s">
        <v>12</v>
      </c>
      <c r="L9" s="33" t="s">
        <v>66</v>
      </c>
      <c r="M9" s="56">
        <v>2.4305555555555556E-2</v>
      </c>
      <c r="N9" s="46"/>
    </row>
    <row r="10" spans="1:14">
      <c r="A10" s="45" t="s">
        <v>71</v>
      </c>
      <c r="B10" s="10" t="s">
        <v>13</v>
      </c>
      <c r="C10" s="30" t="s">
        <v>70</v>
      </c>
      <c r="D10" s="12"/>
      <c r="E10" s="34"/>
      <c r="F10" s="34"/>
      <c r="G10" s="56">
        <v>1.7361111111111112E-2</v>
      </c>
      <c r="H10" s="9"/>
      <c r="I10" s="35"/>
      <c r="K10" s="10" t="s">
        <v>13</v>
      </c>
      <c r="L10" s="30" t="s">
        <v>70</v>
      </c>
      <c r="M10" s="56">
        <v>1.7361111111111112E-2</v>
      </c>
      <c r="N10" s="46"/>
    </row>
    <row r="11" spans="1:14">
      <c r="A11" s="45" t="s">
        <v>71</v>
      </c>
      <c r="B11" s="10" t="s">
        <v>14</v>
      </c>
      <c r="C11" s="33" t="s">
        <v>65</v>
      </c>
      <c r="D11" s="12"/>
      <c r="E11" s="34"/>
      <c r="F11" s="34"/>
      <c r="G11" s="56">
        <v>2.0833333333333332E-2</v>
      </c>
      <c r="H11" s="9"/>
      <c r="I11" s="35"/>
      <c r="K11" s="10" t="s">
        <v>14</v>
      </c>
      <c r="L11" s="33" t="s">
        <v>65</v>
      </c>
      <c r="M11" s="56">
        <v>2.0833333333333332E-2</v>
      </c>
      <c r="N11" s="46"/>
    </row>
    <row r="12" spans="1:14">
      <c r="A12" s="45" t="s">
        <v>71</v>
      </c>
      <c r="B12" s="10" t="s">
        <v>15</v>
      </c>
      <c r="C12" s="33" t="s">
        <v>67</v>
      </c>
      <c r="D12" s="12"/>
      <c r="E12" s="34"/>
      <c r="F12" s="34"/>
      <c r="G12" s="56">
        <v>2.0833333333333332E-2</v>
      </c>
      <c r="H12" s="9"/>
      <c r="I12" s="35"/>
      <c r="K12" s="10" t="s">
        <v>15</v>
      </c>
      <c r="L12" s="33" t="s">
        <v>67</v>
      </c>
      <c r="M12" s="56">
        <v>2.0833333333333332E-2</v>
      </c>
      <c r="N12" s="46"/>
    </row>
    <row r="13" spans="1:14">
      <c r="A13" s="45" t="s">
        <v>71</v>
      </c>
      <c r="B13" s="10" t="s">
        <v>16</v>
      </c>
      <c r="C13" s="33" t="s">
        <v>47</v>
      </c>
      <c r="D13" s="12"/>
      <c r="E13" s="34"/>
      <c r="F13" s="34"/>
      <c r="G13" s="56">
        <v>1.7361111111111112E-2</v>
      </c>
      <c r="H13" s="9"/>
      <c r="I13" s="35"/>
      <c r="K13" s="10" t="s">
        <v>16</v>
      </c>
      <c r="L13" s="33" t="s">
        <v>47</v>
      </c>
      <c r="M13" s="56">
        <v>1.7361111111111112E-2</v>
      </c>
      <c r="N13" s="46"/>
    </row>
    <row r="14" spans="1:14">
      <c r="A14" s="45" t="s">
        <v>71</v>
      </c>
      <c r="B14" s="10" t="s">
        <v>17</v>
      </c>
      <c r="C14" s="33" t="s">
        <v>62</v>
      </c>
      <c r="D14" s="12"/>
      <c r="E14" s="34"/>
      <c r="F14" s="34"/>
      <c r="G14" s="56">
        <v>1.7361111111111112E-2</v>
      </c>
      <c r="H14" s="9"/>
      <c r="I14" s="36"/>
      <c r="K14" s="10" t="s">
        <v>17</v>
      </c>
      <c r="L14" s="33" t="s">
        <v>62</v>
      </c>
      <c r="M14" s="56">
        <v>1.7361111111111112E-2</v>
      </c>
      <c r="N14" s="46"/>
    </row>
    <row r="15" spans="1:14">
      <c r="A15" s="45" t="s">
        <v>71</v>
      </c>
      <c r="B15" s="10" t="s">
        <v>18</v>
      </c>
      <c r="C15" s="33" t="s">
        <v>48</v>
      </c>
      <c r="D15" s="36"/>
      <c r="E15" s="37"/>
      <c r="F15" s="37"/>
      <c r="G15" s="56">
        <v>1.3888888888888888E-2</v>
      </c>
      <c r="H15" s="9"/>
      <c r="I15" s="36"/>
      <c r="K15" s="10" t="s">
        <v>18</v>
      </c>
      <c r="L15" s="33" t="s">
        <v>48</v>
      </c>
      <c r="M15" s="56">
        <v>1.3888888888888888E-2</v>
      </c>
      <c r="N15" s="46"/>
    </row>
    <row r="16" spans="1:14">
      <c r="A16" s="45" t="s">
        <v>71</v>
      </c>
      <c r="B16" s="10" t="s">
        <v>19</v>
      </c>
      <c r="C16" s="33" t="s">
        <v>61</v>
      </c>
      <c r="D16" s="36"/>
      <c r="E16" s="37"/>
      <c r="F16" s="37"/>
      <c r="G16" s="56">
        <v>1.3888888888888888E-2</v>
      </c>
      <c r="H16" s="9"/>
      <c r="I16" s="36"/>
      <c r="K16" s="10" t="s">
        <v>19</v>
      </c>
      <c r="L16" s="33" t="s">
        <v>61</v>
      </c>
      <c r="M16" s="56">
        <v>1.3888888888888888E-2</v>
      </c>
      <c r="N16" s="46"/>
    </row>
    <row r="17" spans="1:14">
      <c r="A17" s="45" t="s">
        <v>71</v>
      </c>
      <c r="B17" s="10" t="s">
        <v>20</v>
      </c>
      <c r="C17" s="33" t="s">
        <v>58</v>
      </c>
      <c r="D17" s="36"/>
      <c r="E17" s="37"/>
      <c r="F17" s="37"/>
      <c r="G17" s="56">
        <v>2.4305555555555556E-2</v>
      </c>
      <c r="H17" s="9"/>
      <c r="I17" s="36"/>
      <c r="K17" s="10" t="s">
        <v>20</v>
      </c>
      <c r="L17" s="33" t="s">
        <v>58</v>
      </c>
      <c r="M17" s="56">
        <v>2.4305555555555556E-2</v>
      </c>
      <c r="N17" s="46"/>
    </row>
    <row r="18" spans="1:14">
      <c r="A18" s="45" t="s">
        <v>71</v>
      </c>
      <c r="B18" s="10" t="s">
        <v>21</v>
      </c>
      <c r="C18" s="33" t="s">
        <v>60</v>
      </c>
      <c r="D18" s="36"/>
      <c r="E18" s="37"/>
      <c r="F18" s="37"/>
      <c r="G18" s="56">
        <v>2.4305555555555556E-2</v>
      </c>
      <c r="H18" s="9"/>
      <c r="I18" s="36"/>
      <c r="K18" s="10" t="s">
        <v>21</v>
      </c>
      <c r="L18" s="33" t="s">
        <v>60</v>
      </c>
      <c r="M18" s="56">
        <v>2.4305555555555556E-2</v>
      </c>
      <c r="N18" s="46"/>
    </row>
    <row r="19" spans="1:14">
      <c r="A19" s="45" t="s">
        <v>71</v>
      </c>
      <c r="B19" s="10" t="s">
        <v>22</v>
      </c>
      <c r="C19" s="33" t="s">
        <v>50</v>
      </c>
      <c r="D19" s="36"/>
      <c r="E19" s="37"/>
      <c r="F19" s="37"/>
      <c r="G19" s="56">
        <v>3.125E-2</v>
      </c>
      <c r="H19" s="9"/>
      <c r="I19" s="36"/>
      <c r="K19" s="10" t="s">
        <v>22</v>
      </c>
      <c r="L19" s="33" t="s">
        <v>50</v>
      </c>
      <c r="M19" s="56">
        <v>3.125E-2</v>
      </c>
      <c r="N19" s="46"/>
    </row>
    <row r="20" spans="1:14">
      <c r="A20" s="45" t="s">
        <v>71</v>
      </c>
      <c r="B20" s="10" t="s">
        <v>23</v>
      </c>
      <c r="C20" s="33" t="s">
        <v>59</v>
      </c>
      <c r="D20" s="36"/>
      <c r="E20" s="37"/>
      <c r="F20" s="37"/>
      <c r="G20" s="56">
        <v>3.125E-2</v>
      </c>
      <c r="H20" s="9"/>
      <c r="I20" s="36"/>
      <c r="K20" s="10" t="s">
        <v>23</v>
      </c>
      <c r="L20" s="33" t="s">
        <v>59</v>
      </c>
      <c r="M20" s="56">
        <v>3.125E-2</v>
      </c>
      <c r="N20" s="46"/>
    </row>
    <row r="21" spans="1:14">
      <c r="A21" s="45" t="s">
        <v>71</v>
      </c>
      <c r="B21" s="10" t="s">
        <v>24</v>
      </c>
      <c r="C21" s="36"/>
      <c r="D21" s="36"/>
      <c r="E21" s="37"/>
      <c r="F21" s="37"/>
      <c r="G21" s="56">
        <f>F21-E21</f>
        <v>0</v>
      </c>
      <c r="H21" s="9"/>
      <c r="I21" s="36"/>
      <c r="N21" s="46"/>
    </row>
    <row r="22" spans="1:14">
      <c r="A22" s="45" t="s">
        <v>71</v>
      </c>
      <c r="B22" s="10" t="s">
        <v>25</v>
      </c>
      <c r="C22" s="36"/>
      <c r="D22" s="36"/>
      <c r="E22" s="37"/>
      <c r="F22" s="37"/>
      <c r="G22" s="56">
        <f>F22-E22</f>
        <v>0</v>
      </c>
      <c r="H22" s="9"/>
      <c r="I22" s="36"/>
      <c r="N22" s="46"/>
    </row>
    <row r="23" spans="1:14">
      <c r="A23" s="45" t="s">
        <v>71</v>
      </c>
      <c r="B23" s="10" t="s">
        <v>26</v>
      </c>
      <c r="C23" s="36"/>
      <c r="D23" s="36"/>
      <c r="E23" s="37"/>
      <c r="F23" s="37"/>
      <c r="G23" s="56">
        <f>F23-E23</f>
        <v>0</v>
      </c>
      <c r="H23" s="9"/>
      <c r="I23" s="36"/>
      <c r="N23" s="46"/>
    </row>
    <row r="24" spans="1:14" ht="15" thickBot="1">
      <c r="A24" s="45" t="s">
        <v>71</v>
      </c>
      <c r="B24" s="17" t="s">
        <v>27</v>
      </c>
      <c r="C24" s="38"/>
      <c r="D24" s="38"/>
      <c r="E24" s="39"/>
      <c r="F24" s="39"/>
      <c r="G24" s="56">
        <f>F24-E24</f>
        <v>0</v>
      </c>
      <c r="H24" s="9"/>
      <c r="I24" s="38"/>
      <c r="N24" s="46"/>
    </row>
    <row r="25" spans="1:14" ht="15" thickBot="1">
      <c r="A25" s="45" t="s">
        <v>71</v>
      </c>
      <c r="B25" s="22"/>
      <c r="C25" s="40"/>
      <c r="D25" s="41"/>
      <c r="E25" s="40"/>
      <c r="F25" s="44" t="s">
        <v>5</v>
      </c>
      <c r="G25" s="42">
        <f>SUM(G5:G24)</f>
        <v>0.33333333333333337</v>
      </c>
      <c r="H25" s="43"/>
      <c r="I25" s="41"/>
      <c r="N25" s="46"/>
    </row>
    <row r="26" spans="1:14" ht="15" thickBot="1">
      <c r="A26" s="47" t="s">
        <v>71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9"/>
    </row>
    <row r="27" spans="1:14" ht="15" thickBot="1"/>
    <row r="28" spans="1:14" ht="15" thickBot="1">
      <c r="A28" s="50" t="s">
        <v>71</v>
      </c>
      <c r="B28" s="51" t="s">
        <v>71</v>
      </c>
      <c r="C28" s="51" t="s">
        <v>71</v>
      </c>
      <c r="D28" s="51" t="s">
        <v>71</v>
      </c>
      <c r="E28" s="51" t="s">
        <v>71</v>
      </c>
      <c r="F28" s="51" t="s">
        <v>71</v>
      </c>
      <c r="G28" s="51" t="s">
        <v>71</v>
      </c>
      <c r="H28" s="51" t="s">
        <v>71</v>
      </c>
      <c r="I28" s="51" t="s">
        <v>71</v>
      </c>
      <c r="J28" s="51" t="s">
        <v>71</v>
      </c>
      <c r="K28" s="51" t="s">
        <v>71</v>
      </c>
      <c r="L28" s="51" t="s">
        <v>71</v>
      </c>
      <c r="M28" s="51" t="s">
        <v>71</v>
      </c>
      <c r="N28" s="52" t="s">
        <v>71</v>
      </c>
    </row>
    <row r="29" spans="1:14" ht="21.6" thickBot="1">
      <c r="A29" s="45" t="s">
        <v>71</v>
      </c>
      <c r="B29" s="110" t="s">
        <v>72</v>
      </c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2"/>
      <c r="N29" s="46"/>
    </row>
    <row r="30" spans="1:14" ht="15" thickBot="1">
      <c r="A30" s="45" t="s">
        <v>71</v>
      </c>
      <c r="N30" s="46"/>
    </row>
    <row r="31" spans="1:14" ht="15" thickBot="1">
      <c r="A31" s="45" t="s">
        <v>71</v>
      </c>
      <c r="B31" s="29" t="s">
        <v>0</v>
      </c>
      <c r="C31" s="29" t="s">
        <v>1</v>
      </c>
      <c r="D31" s="29" t="s">
        <v>2</v>
      </c>
      <c r="E31" s="29" t="s">
        <v>3</v>
      </c>
      <c r="F31" s="29" t="s">
        <v>4</v>
      </c>
      <c r="G31" s="29" t="s">
        <v>5</v>
      </c>
      <c r="H31" s="29" t="s">
        <v>6</v>
      </c>
      <c r="I31" s="29" t="s">
        <v>7</v>
      </c>
      <c r="K31" s="29" t="s">
        <v>0</v>
      </c>
      <c r="L31" s="29" t="s">
        <v>1</v>
      </c>
      <c r="M31" s="3" t="s">
        <v>51</v>
      </c>
      <c r="N31" s="46"/>
    </row>
    <row r="32" spans="1:14">
      <c r="A32" s="45" t="s">
        <v>71</v>
      </c>
      <c r="B32" s="4" t="s">
        <v>8</v>
      </c>
      <c r="C32" s="30" t="s">
        <v>63</v>
      </c>
      <c r="D32" s="6"/>
      <c r="E32" s="31"/>
      <c r="F32" s="31"/>
      <c r="G32" s="56">
        <v>1.7361111111111112E-2</v>
      </c>
      <c r="H32" s="9"/>
      <c r="I32" s="32"/>
      <c r="K32" s="4" t="s">
        <v>8</v>
      </c>
      <c r="L32" s="30" t="s">
        <v>63</v>
      </c>
      <c r="M32" s="56">
        <v>1.7361111111111112E-2</v>
      </c>
      <c r="N32" s="46"/>
    </row>
    <row r="33" spans="1:14">
      <c r="A33" s="45" t="s">
        <v>71</v>
      </c>
      <c r="B33" s="10" t="s">
        <v>9</v>
      </c>
      <c r="C33" s="30" t="s">
        <v>64</v>
      </c>
      <c r="D33" s="12"/>
      <c r="E33" s="34"/>
      <c r="F33" s="34"/>
      <c r="G33" s="56">
        <v>1.7361111111111112E-2</v>
      </c>
      <c r="H33" s="9"/>
      <c r="I33" s="35"/>
      <c r="K33" s="10" t="s">
        <v>9</v>
      </c>
      <c r="L33" s="30" t="s">
        <v>64</v>
      </c>
      <c r="M33" s="56">
        <v>1.7361111111111112E-2</v>
      </c>
      <c r="N33" s="46"/>
    </row>
    <row r="34" spans="1:14">
      <c r="A34" s="45" t="s">
        <v>71</v>
      </c>
      <c r="B34" s="10" t="s">
        <v>10</v>
      </c>
      <c r="C34" s="33" t="s">
        <v>68</v>
      </c>
      <c r="D34" s="12"/>
      <c r="E34" s="34"/>
      <c r="F34" s="34"/>
      <c r="G34" s="56">
        <v>2.0833333333333332E-2</v>
      </c>
      <c r="H34" s="9"/>
      <c r="I34" s="35"/>
      <c r="K34" s="10" t="s">
        <v>10</v>
      </c>
      <c r="L34" s="33" t="s">
        <v>68</v>
      </c>
      <c r="M34" s="56">
        <v>2.0833333333333332E-2</v>
      </c>
      <c r="N34" s="46"/>
    </row>
    <row r="35" spans="1:14">
      <c r="A35" s="45" t="s">
        <v>71</v>
      </c>
      <c r="B35" s="10" t="s">
        <v>11</v>
      </c>
      <c r="C35" s="33" t="s">
        <v>69</v>
      </c>
      <c r="D35" s="12"/>
      <c r="E35" s="34"/>
      <c r="F35" s="34"/>
      <c r="G35" s="56">
        <v>2.0833333333333332E-2</v>
      </c>
      <c r="H35" s="9"/>
      <c r="I35" s="35"/>
      <c r="K35" s="10" t="s">
        <v>11</v>
      </c>
      <c r="L35" s="33" t="s">
        <v>69</v>
      </c>
      <c r="M35" s="56">
        <v>2.0833333333333332E-2</v>
      </c>
      <c r="N35" s="46"/>
    </row>
    <row r="36" spans="1:14">
      <c r="A36" s="45" t="s">
        <v>71</v>
      </c>
      <c r="B36" s="10" t="s">
        <v>12</v>
      </c>
      <c r="C36" s="33" t="s">
        <v>66</v>
      </c>
      <c r="D36" s="12"/>
      <c r="E36" s="34"/>
      <c r="F36" s="34"/>
      <c r="G36" s="56">
        <v>2.4305555555555556E-2</v>
      </c>
      <c r="H36" s="9"/>
      <c r="I36" s="35"/>
      <c r="K36" s="10" t="s">
        <v>12</v>
      </c>
      <c r="L36" s="33" t="s">
        <v>66</v>
      </c>
      <c r="M36" s="56">
        <v>2.4305555555555556E-2</v>
      </c>
      <c r="N36" s="46"/>
    </row>
    <row r="37" spans="1:14">
      <c r="A37" s="45" t="s">
        <v>71</v>
      </c>
      <c r="B37" s="10" t="s">
        <v>13</v>
      </c>
      <c r="C37" s="30" t="s">
        <v>70</v>
      </c>
      <c r="D37" s="12"/>
      <c r="E37" s="34"/>
      <c r="F37" s="34"/>
      <c r="G37" s="56">
        <v>1.7361111111111112E-2</v>
      </c>
      <c r="H37" s="9"/>
      <c r="I37" s="35"/>
      <c r="K37" s="10" t="s">
        <v>13</v>
      </c>
      <c r="L37" s="30" t="s">
        <v>70</v>
      </c>
      <c r="M37" s="56">
        <v>1.7361111111111112E-2</v>
      </c>
      <c r="N37" s="46"/>
    </row>
    <row r="38" spans="1:14">
      <c r="A38" s="45" t="s">
        <v>71</v>
      </c>
      <c r="B38" s="10" t="s">
        <v>14</v>
      </c>
      <c r="C38" s="33" t="s">
        <v>65</v>
      </c>
      <c r="D38" s="12"/>
      <c r="E38" s="34"/>
      <c r="F38" s="34"/>
      <c r="G38" s="56">
        <v>2.0833333333333332E-2</v>
      </c>
      <c r="H38" s="9"/>
      <c r="I38" s="35"/>
      <c r="K38" s="10" t="s">
        <v>14</v>
      </c>
      <c r="L38" s="33" t="s">
        <v>65</v>
      </c>
      <c r="M38" s="56">
        <v>2.0833333333333332E-2</v>
      </c>
      <c r="N38" s="46"/>
    </row>
    <row r="39" spans="1:14">
      <c r="A39" s="45" t="s">
        <v>71</v>
      </c>
      <c r="B39" s="10" t="s">
        <v>15</v>
      </c>
      <c r="C39" s="33" t="s">
        <v>67</v>
      </c>
      <c r="D39" s="12"/>
      <c r="E39" s="34"/>
      <c r="F39" s="34"/>
      <c r="G39" s="56">
        <v>2.0833333333333332E-2</v>
      </c>
      <c r="H39" s="9"/>
      <c r="I39" s="35"/>
      <c r="K39" s="10" t="s">
        <v>15</v>
      </c>
      <c r="L39" s="33" t="s">
        <v>67</v>
      </c>
      <c r="M39" s="56">
        <v>2.0833333333333332E-2</v>
      </c>
      <c r="N39" s="46"/>
    </row>
    <row r="40" spans="1:14">
      <c r="A40" s="45" t="s">
        <v>71</v>
      </c>
      <c r="B40" s="10" t="s">
        <v>16</v>
      </c>
      <c r="C40" s="33" t="s">
        <v>47</v>
      </c>
      <c r="D40" s="12"/>
      <c r="E40" s="34"/>
      <c r="F40" s="34"/>
      <c r="G40" s="56">
        <v>1.7361111111111112E-2</v>
      </c>
      <c r="H40" s="9"/>
      <c r="I40" s="35"/>
      <c r="K40" s="10" t="s">
        <v>16</v>
      </c>
      <c r="L40" s="33" t="s">
        <v>47</v>
      </c>
      <c r="M40" s="56">
        <v>1.7361111111111112E-2</v>
      </c>
      <c r="N40" s="46"/>
    </row>
    <row r="41" spans="1:14">
      <c r="A41" s="45" t="s">
        <v>71</v>
      </c>
      <c r="B41" s="10" t="s">
        <v>17</v>
      </c>
      <c r="C41" s="33" t="s">
        <v>62</v>
      </c>
      <c r="D41" s="12"/>
      <c r="E41" s="34"/>
      <c r="F41" s="34"/>
      <c r="G41" s="56">
        <v>1.7361111111111112E-2</v>
      </c>
      <c r="H41" s="9"/>
      <c r="I41" s="36"/>
      <c r="K41" s="10" t="s">
        <v>17</v>
      </c>
      <c r="L41" s="33" t="s">
        <v>62</v>
      </c>
      <c r="M41" s="56">
        <v>1.7361111111111112E-2</v>
      </c>
      <c r="N41" s="46"/>
    </row>
    <row r="42" spans="1:14">
      <c r="A42" s="45" t="s">
        <v>71</v>
      </c>
      <c r="B42" s="10" t="s">
        <v>18</v>
      </c>
      <c r="C42" s="33" t="s">
        <v>48</v>
      </c>
      <c r="D42" s="36"/>
      <c r="E42" s="37"/>
      <c r="F42" s="37"/>
      <c r="G42" s="56">
        <v>1.3888888888888888E-2</v>
      </c>
      <c r="H42" s="9"/>
      <c r="I42" s="36"/>
      <c r="K42" s="10" t="s">
        <v>18</v>
      </c>
      <c r="L42" s="33" t="s">
        <v>48</v>
      </c>
      <c r="M42" s="56">
        <v>1.3888888888888888E-2</v>
      </c>
      <c r="N42" s="46"/>
    </row>
    <row r="43" spans="1:14">
      <c r="A43" s="45" t="s">
        <v>71</v>
      </c>
      <c r="B43" s="10" t="s">
        <v>19</v>
      </c>
      <c r="C43" s="33" t="s">
        <v>61</v>
      </c>
      <c r="D43" s="36"/>
      <c r="E43" s="37"/>
      <c r="F43" s="37"/>
      <c r="G43" s="56">
        <v>1.3888888888888888E-2</v>
      </c>
      <c r="H43" s="9"/>
      <c r="I43" s="36"/>
      <c r="K43" s="10" t="s">
        <v>19</v>
      </c>
      <c r="L43" s="33" t="s">
        <v>61</v>
      </c>
      <c r="M43" s="56">
        <v>1.3888888888888888E-2</v>
      </c>
      <c r="N43" s="46"/>
    </row>
    <row r="44" spans="1:14">
      <c r="A44" s="45" t="s">
        <v>71</v>
      </c>
      <c r="B44" s="10" t="s">
        <v>20</v>
      </c>
      <c r="C44" s="33" t="s">
        <v>58</v>
      </c>
      <c r="D44" s="36"/>
      <c r="E44" s="37"/>
      <c r="F44" s="37"/>
      <c r="G44" s="56">
        <v>2.4305555555555556E-2</v>
      </c>
      <c r="H44" s="9"/>
      <c r="I44" s="36"/>
      <c r="K44" s="10" t="s">
        <v>20</v>
      </c>
      <c r="L44" s="33" t="s">
        <v>58</v>
      </c>
      <c r="M44" s="56">
        <v>2.4305555555555556E-2</v>
      </c>
      <c r="N44" s="46"/>
    </row>
    <row r="45" spans="1:14" ht="16.95" customHeight="1">
      <c r="A45" s="45" t="s">
        <v>71</v>
      </c>
      <c r="B45" s="10" t="s">
        <v>21</v>
      </c>
      <c r="C45" s="33" t="s">
        <v>60</v>
      </c>
      <c r="D45" s="36"/>
      <c r="E45" s="37"/>
      <c r="F45" s="37"/>
      <c r="G45" s="56">
        <v>2.4305555555555556E-2</v>
      </c>
      <c r="H45" s="9"/>
      <c r="I45" s="36"/>
      <c r="K45" s="10" t="s">
        <v>21</v>
      </c>
      <c r="L45" s="33" t="s">
        <v>60</v>
      </c>
      <c r="M45" s="56">
        <v>2.4305555555555556E-2</v>
      </c>
      <c r="N45" s="46"/>
    </row>
    <row r="46" spans="1:14">
      <c r="A46" s="45" t="s">
        <v>71</v>
      </c>
      <c r="B46" s="10" t="s">
        <v>22</v>
      </c>
      <c r="C46" s="33" t="s">
        <v>50</v>
      </c>
      <c r="D46" s="36"/>
      <c r="E46" s="37"/>
      <c r="F46" s="37"/>
      <c r="G46" s="56">
        <v>3.125E-2</v>
      </c>
      <c r="H46" s="9"/>
      <c r="I46" s="36"/>
      <c r="K46" s="10" t="s">
        <v>22</v>
      </c>
      <c r="L46" s="33" t="s">
        <v>50</v>
      </c>
      <c r="M46" s="56">
        <v>3.125E-2</v>
      </c>
      <c r="N46" s="46"/>
    </row>
    <row r="47" spans="1:14">
      <c r="A47" s="45" t="s">
        <v>71</v>
      </c>
      <c r="B47" s="10" t="s">
        <v>23</v>
      </c>
      <c r="C47" s="33" t="s">
        <v>59</v>
      </c>
      <c r="D47" s="36"/>
      <c r="E47" s="37"/>
      <c r="F47" s="37"/>
      <c r="G47" s="56">
        <v>3.125E-2</v>
      </c>
      <c r="H47" s="9"/>
      <c r="I47" s="36"/>
      <c r="K47" s="10" t="s">
        <v>23</v>
      </c>
      <c r="L47" s="33" t="s">
        <v>59</v>
      </c>
      <c r="M47" s="56">
        <v>3.125E-2</v>
      </c>
      <c r="N47" s="46"/>
    </row>
    <row r="48" spans="1:14">
      <c r="A48" s="45" t="s">
        <v>71</v>
      </c>
      <c r="B48" s="10" t="s">
        <v>24</v>
      </c>
      <c r="C48" s="36"/>
      <c r="D48" s="36"/>
      <c r="E48" s="37"/>
      <c r="F48" s="37"/>
      <c r="G48" s="56">
        <f>F48-E48</f>
        <v>0</v>
      </c>
      <c r="H48" s="9"/>
      <c r="I48" s="36"/>
      <c r="N48" s="46"/>
    </row>
    <row r="49" spans="1:22">
      <c r="A49" s="45" t="s">
        <v>71</v>
      </c>
      <c r="B49" s="10" t="s">
        <v>25</v>
      </c>
      <c r="C49" s="36"/>
      <c r="D49" s="36"/>
      <c r="E49" s="37"/>
      <c r="F49" s="37"/>
      <c r="G49" s="56">
        <f>F49-E49</f>
        <v>0</v>
      </c>
      <c r="H49" s="9"/>
      <c r="I49" s="36"/>
      <c r="N49" s="46"/>
    </row>
    <row r="50" spans="1:22">
      <c r="A50" s="45" t="s">
        <v>71</v>
      </c>
      <c r="B50" s="10" t="s">
        <v>26</v>
      </c>
      <c r="C50" s="36"/>
      <c r="D50" s="36"/>
      <c r="E50" s="37"/>
      <c r="F50" s="37"/>
      <c r="G50" s="56">
        <f>F50-E50</f>
        <v>0</v>
      </c>
      <c r="H50" s="9"/>
      <c r="I50" s="36"/>
      <c r="N50" s="46"/>
    </row>
    <row r="51" spans="1:22" ht="15" thickBot="1">
      <c r="A51" s="45" t="s">
        <v>71</v>
      </c>
      <c r="B51" s="17" t="s">
        <v>27</v>
      </c>
      <c r="C51" s="38"/>
      <c r="D51" s="38"/>
      <c r="E51" s="39"/>
      <c r="F51" s="39"/>
      <c r="G51" s="56">
        <f>F51-E51</f>
        <v>0</v>
      </c>
      <c r="H51" s="9"/>
      <c r="I51" s="38"/>
      <c r="N51" s="46"/>
    </row>
    <row r="52" spans="1:22" ht="15" thickBot="1">
      <c r="A52" s="45" t="s">
        <v>71</v>
      </c>
      <c r="B52" s="22"/>
      <c r="C52" s="40"/>
      <c r="D52" s="41"/>
      <c r="E52" s="40"/>
      <c r="F52" s="44" t="s">
        <v>5</v>
      </c>
      <c r="G52" s="42">
        <f>SUM(G32:G51)</f>
        <v>0.33333333333333337</v>
      </c>
      <c r="H52" s="43"/>
      <c r="I52" s="41"/>
      <c r="N52" s="46"/>
    </row>
    <row r="53" spans="1:22" ht="15" thickBot="1">
      <c r="A53" s="47" t="s">
        <v>71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9"/>
    </row>
    <row r="54" spans="1:22" ht="15" thickBot="1"/>
    <row r="55" spans="1:22" ht="15" thickBot="1">
      <c r="A55" s="50" t="s">
        <v>71</v>
      </c>
      <c r="B55" s="51" t="s">
        <v>71</v>
      </c>
      <c r="C55" s="51" t="s">
        <v>71</v>
      </c>
      <c r="D55" s="51" t="s">
        <v>71</v>
      </c>
      <c r="E55" s="51" t="s">
        <v>71</v>
      </c>
      <c r="F55" s="51" t="s">
        <v>71</v>
      </c>
      <c r="G55" s="51" t="s">
        <v>71</v>
      </c>
      <c r="H55" s="51" t="s">
        <v>71</v>
      </c>
      <c r="I55" s="51" t="s">
        <v>71</v>
      </c>
      <c r="J55" s="51" t="s">
        <v>71</v>
      </c>
      <c r="K55" s="51" t="s">
        <v>71</v>
      </c>
      <c r="L55" s="51" t="s">
        <v>71</v>
      </c>
      <c r="M55" s="51" t="s">
        <v>71</v>
      </c>
      <c r="N55" s="52" t="s">
        <v>71</v>
      </c>
    </row>
    <row r="56" spans="1:22" ht="21.6" thickBot="1">
      <c r="A56" s="45" t="s">
        <v>71</v>
      </c>
      <c r="B56" s="110" t="s">
        <v>73</v>
      </c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2"/>
      <c r="N56" s="46"/>
    </row>
    <row r="57" spans="1:22" ht="15" thickBot="1">
      <c r="A57" s="45" t="s">
        <v>71</v>
      </c>
      <c r="N57" s="46"/>
    </row>
    <row r="58" spans="1:22" ht="15" thickBot="1">
      <c r="A58" s="45" t="s">
        <v>71</v>
      </c>
      <c r="B58" s="29" t="s">
        <v>0</v>
      </c>
      <c r="C58" s="29" t="s">
        <v>1</v>
      </c>
      <c r="D58" s="29" t="s">
        <v>2</v>
      </c>
      <c r="E58" s="29" t="s">
        <v>3</v>
      </c>
      <c r="F58" s="29" t="s">
        <v>4</v>
      </c>
      <c r="G58" s="29" t="s">
        <v>5</v>
      </c>
      <c r="H58" s="29" t="s">
        <v>6</v>
      </c>
      <c r="I58" s="29" t="s">
        <v>7</v>
      </c>
      <c r="K58" s="68" t="s">
        <v>0</v>
      </c>
      <c r="L58" s="68" t="s">
        <v>1</v>
      </c>
      <c r="M58" s="69" t="s">
        <v>51</v>
      </c>
      <c r="N58" s="46"/>
    </row>
    <row r="59" spans="1:22" ht="15" thickBot="1">
      <c r="A59" s="45" t="s">
        <v>71</v>
      </c>
      <c r="B59" s="4" t="s">
        <v>8</v>
      </c>
      <c r="C59" s="64" t="s">
        <v>74</v>
      </c>
      <c r="D59" s="6"/>
      <c r="E59" s="31"/>
      <c r="F59" s="31"/>
      <c r="G59" s="56">
        <v>1.7361111111111112E-2</v>
      </c>
      <c r="H59" s="9"/>
      <c r="I59" s="32"/>
      <c r="K59" s="61" t="s">
        <v>8</v>
      </c>
      <c r="L59" s="71" t="s">
        <v>74</v>
      </c>
      <c r="M59" s="75">
        <v>1.7361111111111112E-2</v>
      </c>
      <c r="N59" s="46"/>
    </row>
    <row r="60" spans="1:22" ht="15" thickBot="1">
      <c r="A60" s="45" t="s">
        <v>71</v>
      </c>
      <c r="B60" s="10" t="s">
        <v>9</v>
      </c>
      <c r="C60" s="64" t="s">
        <v>75</v>
      </c>
      <c r="D60" s="12"/>
      <c r="E60" s="34"/>
      <c r="F60" s="34"/>
      <c r="G60" s="56">
        <v>6.9444444444444441E-3</v>
      </c>
      <c r="H60" s="9"/>
      <c r="I60" s="35"/>
      <c r="K60" s="62" t="s">
        <v>9</v>
      </c>
      <c r="L60" s="72" t="s">
        <v>75</v>
      </c>
      <c r="M60" s="76">
        <v>6.9444444444444441E-3</v>
      </c>
      <c r="N60" s="46"/>
      <c r="T60" s="57" t="s">
        <v>0</v>
      </c>
      <c r="U60" s="60" t="s">
        <v>1</v>
      </c>
      <c r="V60" s="58" t="s">
        <v>51</v>
      </c>
    </row>
    <row r="61" spans="1:22">
      <c r="A61" s="45" t="s">
        <v>71</v>
      </c>
      <c r="B61" s="10" t="s">
        <v>10</v>
      </c>
      <c r="C61" s="65" t="s">
        <v>76</v>
      </c>
      <c r="D61" s="12"/>
      <c r="E61" s="34"/>
      <c r="F61" s="34"/>
      <c r="G61" s="56">
        <v>6.9444444444444441E-3</v>
      </c>
      <c r="H61" s="9"/>
      <c r="I61" s="35"/>
      <c r="K61" s="62" t="s">
        <v>10</v>
      </c>
      <c r="L61" s="72" t="s">
        <v>76</v>
      </c>
      <c r="M61" s="76">
        <v>6.9444444444444441E-3</v>
      </c>
      <c r="N61" s="46"/>
      <c r="T61" s="59">
        <v>1</v>
      </c>
    </row>
    <row r="62" spans="1:22">
      <c r="A62" s="45" t="s">
        <v>71</v>
      </c>
      <c r="B62" s="10" t="s">
        <v>11</v>
      </c>
      <c r="C62" s="65" t="s">
        <v>77</v>
      </c>
      <c r="D62" s="12"/>
      <c r="E62" s="34"/>
      <c r="F62" s="34"/>
      <c r="G62" s="56">
        <v>1.3888888888888888E-2</v>
      </c>
      <c r="H62" s="9"/>
      <c r="I62" s="35"/>
      <c r="K62" s="62" t="s">
        <v>11</v>
      </c>
      <c r="L62" s="72" t="s">
        <v>77</v>
      </c>
      <c r="M62" s="76">
        <v>1.3888888888888888E-2</v>
      </c>
      <c r="N62" s="46"/>
      <c r="T62" s="59">
        <v>2</v>
      </c>
    </row>
    <row r="63" spans="1:22">
      <c r="A63" s="45" t="s">
        <v>71</v>
      </c>
      <c r="B63" s="10" t="s">
        <v>12</v>
      </c>
      <c r="C63" s="65" t="s">
        <v>78</v>
      </c>
      <c r="D63" s="12"/>
      <c r="E63" s="34"/>
      <c r="F63" s="34"/>
      <c r="G63" s="56">
        <v>1.7361111111111112E-2</v>
      </c>
      <c r="H63" s="9"/>
      <c r="I63" s="35"/>
      <c r="K63" s="62" t="s">
        <v>12</v>
      </c>
      <c r="L63" s="72" t="s">
        <v>78</v>
      </c>
      <c r="M63" s="76">
        <v>1.7361111111111112E-2</v>
      </c>
      <c r="N63" s="46"/>
      <c r="T63" s="59">
        <v>3</v>
      </c>
    </row>
    <row r="64" spans="1:22">
      <c r="A64" s="45" t="s">
        <v>71</v>
      </c>
      <c r="B64" s="10" t="s">
        <v>13</v>
      </c>
      <c r="C64" s="64" t="s">
        <v>79</v>
      </c>
      <c r="D64" s="12"/>
      <c r="E64" s="34"/>
      <c r="F64" s="34"/>
      <c r="G64" s="56">
        <v>6.9444444444444441E-3</v>
      </c>
      <c r="H64" s="9"/>
      <c r="I64" s="35"/>
      <c r="K64" s="62" t="s">
        <v>13</v>
      </c>
      <c r="L64" s="72" t="s">
        <v>79</v>
      </c>
      <c r="M64" s="76">
        <v>6.9444444444444441E-3</v>
      </c>
      <c r="N64" s="46"/>
      <c r="T64" s="59">
        <v>4</v>
      </c>
    </row>
    <row r="65" spans="1:20">
      <c r="A65" s="45" t="s">
        <v>71</v>
      </c>
      <c r="B65" s="10" t="s">
        <v>14</v>
      </c>
      <c r="C65" s="65" t="s">
        <v>80</v>
      </c>
      <c r="D65" s="12"/>
      <c r="E65" s="34"/>
      <c r="F65" s="34"/>
      <c r="G65" s="56">
        <v>2.0833333333333332E-2</v>
      </c>
      <c r="H65" s="9"/>
      <c r="I65" s="35"/>
      <c r="K65" s="62" t="s">
        <v>14</v>
      </c>
      <c r="L65" s="72" t="s">
        <v>80</v>
      </c>
      <c r="M65" s="76">
        <v>2.0833333333333332E-2</v>
      </c>
      <c r="N65" s="46"/>
      <c r="T65" s="59">
        <v>5</v>
      </c>
    </row>
    <row r="66" spans="1:20">
      <c r="A66" s="45" t="s">
        <v>71</v>
      </c>
      <c r="B66" s="10" t="s">
        <v>15</v>
      </c>
      <c r="C66" s="65" t="s">
        <v>81</v>
      </c>
      <c r="D66" s="12"/>
      <c r="E66" s="34"/>
      <c r="F66" s="34"/>
      <c r="G66" s="56">
        <v>1.0416666666666666E-2</v>
      </c>
      <c r="H66" s="9"/>
      <c r="I66" s="35"/>
      <c r="K66" s="62" t="s">
        <v>15</v>
      </c>
      <c r="L66" s="72" t="s">
        <v>81</v>
      </c>
      <c r="M66" s="76">
        <v>1.0416666666666666E-2</v>
      </c>
      <c r="N66" s="46"/>
      <c r="T66" s="59">
        <v>6</v>
      </c>
    </row>
    <row r="67" spans="1:20">
      <c r="A67" s="45" t="s">
        <v>71</v>
      </c>
      <c r="B67" s="10" t="s">
        <v>16</v>
      </c>
      <c r="C67" s="65" t="s">
        <v>82</v>
      </c>
      <c r="D67" s="12"/>
      <c r="E67" s="34"/>
      <c r="F67" s="34"/>
      <c r="G67" s="56">
        <v>2.0833333333333332E-2</v>
      </c>
      <c r="H67" s="9"/>
      <c r="I67" s="35"/>
      <c r="K67" s="62" t="s">
        <v>16</v>
      </c>
      <c r="L67" s="72" t="s">
        <v>82</v>
      </c>
      <c r="M67" s="76">
        <v>2.0833333333333332E-2</v>
      </c>
      <c r="N67" s="46"/>
      <c r="T67" s="59">
        <v>7</v>
      </c>
    </row>
    <row r="68" spans="1:20">
      <c r="A68" s="45" t="s">
        <v>71</v>
      </c>
      <c r="B68" s="10" t="s">
        <v>17</v>
      </c>
      <c r="C68" s="65" t="s">
        <v>83</v>
      </c>
      <c r="D68" s="12"/>
      <c r="E68" s="34"/>
      <c r="F68" s="34"/>
      <c r="G68" s="56">
        <v>2.0833333333333332E-2</v>
      </c>
      <c r="H68" s="9"/>
      <c r="I68" s="36"/>
      <c r="K68" s="62" t="s">
        <v>17</v>
      </c>
      <c r="L68" s="72" t="s">
        <v>83</v>
      </c>
      <c r="M68" s="76">
        <v>2.0833333333333332E-2</v>
      </c>
      <c r="N68" s="46"/>
      <c r="T68" s="59">
        <v>8</v>
      </c>
    </row>
    <row r="69" spans="1:20">
      <c r="A69" s="45" t="s">
        <v>71</v>
      </c>
      <c r="B69" s="10" t="s">
        <v>18</v>
      </c>
      <c r="C69" s="65" t="s">
        <v>84</v>
      </c>
      <c r="D69" s="36"/>
      <c r="E69" s="37"/>
      <c r="F69" s="37"/>
      <c r="G69" s="56">
        <v>2.0833333333333332E-2</v>
      </c>
      <c r="H69" s="9"/>
      <c r="I69" s="36"/>
      <c r="K69" s="62" t="s">
        <v>18</v>
      </c>
      <c r="L69" s="72" t="s">
        <v>84</v>
      </c>
      <c r="M69" s="76">
        <v>2.0833333333333332E-2</v>
      </c>
      <c r="N69" s="46"/>
      <c r="T69" s="59">
        <v>9</v>
      </c>
    </row>
    <row r="70" spans="1:20">
      <c r="A70" s="45" t="s">
        <v>71</v>
      </c>
      <c r="B70" s="10" t="s">
        <v>19</v>
      </c>
      <c r="C70" s="65" t="s">
        <v>85</v>
      </c>
      <c r="D70" s="36"/>
      <c r="E70" s="37"/>
      <c r="F70" s="37"/>
      <c r="G70" s="56">
        <v>1.7361111111111112E-2</v>
      </c>
      <c r="H70" s="9"/>
      <c r="I70" s="36"/>
      <c r="K70" s="62" t="s">
        <v>19</v>
      </c>
      <c r="L70" s="72" t="s">
        <v>85</v>
      </c>
      <c r="M70" s="76">
        <v>1.7361111111111112E-2</v>
      </c>
      <c r="N70" s="46"/>
      <c r="T70" s="59">
        <v>10</v>
      </c>
    </row>
    <row r="71" spans="1:20">
      <c r="A71" s="45" t="s">
        <v>71</v>
      </c>
      <c r="B71" s="10" t="s">
        <v>20</v>
      </c>
      <c r="C71" s="65" t="s">
        <v>86</v>
      </c>
      <c r="D71" s="36"/>
      <c r="E71" s="37"/>
      <c r="F71" s="37"/>
      <c r="G71" s="56">
        <v>1.3888888888888888E-2</v>
      </c>
      <c r="H71" s="9"/>
      <c r="I71" s="36"/>
      <c r="K71" s="62" t="s">
        <v>20</v>
      </c>
      <c r="L71" s="63" t="s">
        <v>86</v>
      </c>
      <c r="M71" s="77">
        <v>1.3888888888888888E-2</v>
      </c>
      <c r="N71" s="46"/>
      <c r="T71" s="59">
        <v>11</v>
      </c>
    </row>
    <row r="72" spans="1:20">
      <c r="A72" s="45" t="s">
        <v>71</v>
      </c>
      <c r="B72" s="10" t="s">
        <v>21</v>
      </c>
      <c r="C72" s="65" t="s">
        <v>87</v>
      </c>
      <c r="D72" s="36"/>
      <c r="E72" s="37"/>
      <c r="F72" s="37"/>
      <c r="G72" s="56">
        <v>1.0416666666666666E-2</v>
      </c>
      <c r="H72" s="9"/>
      <c r="I72" s="36"/>
      <c r="K72" s="62" t="s">
        <v>21</v>
      </c>
      <c r="L72" s="63" t="s">
        <v>87</v>
      </c>
      <c r="M72" s="77">
        <v>1.0416666666666666E-2</v>
      </c>
      <c r="N72" s="46"/>
      <c r="T72" s="59">
        <v>12</v>
      </c>
    </row>
    <row r="73" spans="1:20">
      <c r="A73" s="45" t="s">
        <v>71</v>
      </c>
      <c r="B73" s="10" t="s">
        <v>22</v>
      </c>
      <c r="C73" s="65" t="s">
        <v>88</v>
      </c>
      <c r="D73" s="36"/>
      <c r="E73" s="37"/>
      <c r="F73" s="37"/>
      <c r="G73" s="56">
        <v>1.3888888888888888E-2</v>
      </c>
      <c r="H73" s="9"/>
      <c r="I73" s="36"/>
      <c r="K73" s="62" t="s">
        <v>22</v>
      </c>
      <c r="L73" s="63" t="s">
        <v>88</v>
      </c>
      <c r="M73" s="77">
        <v>1.3888888888888888E-2</v>
      </c>
      <c r="N73" s="46"/>
    </row>
    <row r="74" spans="1:20">
      <c r="A74" s="45" t="s">
        <v>71</v>
      </c>
      <c r="B74" s="10" t="s">
        <v>23</v>
      </c>
      <c r="C74" s="65" t="s">
        <v>89</v>
      </c>
      <c r="D74" s="36"/>
      <c r="E74" s="37"/>
      <c r="F74" s="37"/>
      <c r="G74" s="56">
        <v>2.7777777777777776E-2</v>
      </c>
      <c r="H74" s="9"/>
      <c r="I74" s="36"/>
      <c r="K74" s="62" t="s">
        <v>23</v>
      </c>
      <c r="L74" s="63" t="s">
        <v>89</v>
      </c>
      <c r="M74" s="77">
        <v>2.7777777777777776E-2</v>
      </c>
      <c r="N74" s="46"/>
    </row>
    <row r="75" spans="1:20">
      <c r="A75" s="45" t="s">
        <v>71</v>
      </c>
      <c r="B75" s="10" t="s">
        <v>24</v>
      </c>
      <c r="C75" s="66" t="s">
        <v>90</v>
      </c>
      <c r="D75" s="36"/>
      <c r="E75" s="37"/>
      <c r="F75" s="37"/>
      <c r="G75" s="56">
        <v>2.7777777777777776E-2</v>
      </c>
      <c r="H75" s="9"/>
      <c r="I75" s="36"/>
      <c r="K75" s="62" t="s">
        <v>24</v>
      </c>
      <c r="L75" s="73" t="s">
        <v>90</v>
      </c>
      <c r="M75" s="77">
        <v>2.7777777777777776E-2</v>
      </c>
      <c r="N75" s="46"/>
    </row>
    <row r="76" spans="1:20">
      <c r="A76" s="45" t="s">
        <v>71</v>
      </c>
      <c r="B76" s="10" t="s">
        <v>25</v>
      </c>
      <c r="C76" s="66" t="s">
        <v>50</v>
      </c>
      <c r="D76" s="36"/>
      <c r="E76" s="37"/>
      <c r="F76" s="37"/>
      <c r="G76" s="56">
        <v>3.125E-2</v>
      </c>
      <c r="H76" s="9"/>
      <c r="I76" s="36"/>
      <c r="K76" s="62" t="s">
        <v>25</v>
      </c>
      <c r="L76" s="73" t="s">
        <v>50</v>
      </c>
      <c r="M76" s="77">
        <v>3.125E-2</v>
      </c>
      <c r="N76" s="46"/>
    </row>
    <row r="77" spans="1:20" ht="15" thickBot="1">
      <c r="A77" s="45" t="s">
        <v>71</v>
      </c>
      <c r="B77" s="10" t="s">
        <v>26</v>
      </c>
      <c r="C77" s="66" t="s">
        <v>59</v>
      </c>
      <c r="D77" s="36"/>
      <c r="E77" s="37"/>
      <c r="F77" s="37"/>
      <c r="G77" s="56">
        <v>3.125E-2</v>
      </c>
      <c r="H77" s="9"/>
      <c r="I77" s="36"/>
      <c r="K77" s="70" t="s">
        <v>26</v>
      </c>
      <c r="L77" s="74" t="s">
        <v>59</v>
      </c>
      <c r="M77" s="78">
        <v>3.125E-2</v>
      </c>
      <c r="N77" s="46"/>
    </row>
    <row r="78" spans="1:20" ht="15" thickBot="1">
      <c r="A78" s="45" t="s">
        <v>71</v>
      </c>
      <c r="B78" s="17" t="s">
        <v>27</v>
      </c>
      <c r="C78" s="38"/>
      <c r="D78" s="38"/>
      <c r="E78" s="39"/>
      <c r="F78" s="39"/>
      <c r="G78" s="56">
        <v>0</v>
      </c>
      <c r="H78" s="9"/>
      <c r="I78" s="38"/>
      <c r="N78" s="46"/>
    </row>
    <row r="79" spans="1:20" ht="15" thickBot="1">
      <c r="A79" s="45" t="s">
        <v>71</v>
      </c>
      <c r="B79" s="22"/>
      <c r="C79" s="40"/>
      <c r="D79" s="41"/>
      <c r="E79" s="40"/>
      <c r="F79" s="44" t="s">
        <v>5</v>
      </c>
      <c r="G79" s="42">
        <f>SUM(G59:G78)</f>
        <v>0.33680555555555558</v>
      </c>
      <c r="H79" s="43"/>
      <c r="I79" s="41"/>
      <c r="M79" s="67"/>
      <c r="N79" s="46"/>
    </row>
    <row r="80" spans="1:20" ht="15" thickBot="1">
      <c r="A80" s="47" t="s">
        <v>71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9"/>
    </row>
    <row r="81" spans="1:14" ht="15" thickBot="1"/>
    <row r="82" spans="1:14" ht="15" thickBot="1">
      <c r="A82" s="50" t="s">
        <v>71</v>
      </c>
      <c r="B82" s="51" t="s">
        <v>71</v>
      </c>
      <c r="C82" s="51" t="s">
        <v>71</v>
      </c>
      <c r="D82" s="51" t="s">
        <v>71</v>
      </c>
      <c r="E82" s="51" t="s">
        <v>71</v>
      </c>
      <c r="F82" s="51" t="s">
        <v>71</v>
      </c>
      <c r="G82" s="51" t="s">
        <v>71</v>
      </c>
      <c r="H82" s="51" t="s">
        <v>71</v>
      </c>
      <c r="I82" s="51" t="s">
        <v>71</v>
      </c>
      <c r="J82" s="51" t="s">
        <v>71</v>
      </c>
      <c r="K82" s="51" t="s">
        <v>71</v>
      </c>
      <c r="L82" s="51" t="s">
        <v>71</v>
      </c>
      <c r="M82" s="51" t="s">
        <v>71</v>
      </c>
      <c r="N82" s="52" t="s">
        <v>71</v>
      </c>
    </row>
    <row r="83" spans="1:14" ht="21.6" thickBot="1">
      <c r="A83" s="45" t="s">
        <v>71</v>
      </c>
      <c r="B83" s="110" t="s">
        <v>91</v>
      </c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2"/>
      <c r="N83" s="46"/>
    </row>
    <row r="84" spans="1:14" ht="15" thickBot="1">
      <c r="A84" s="45" t="s">
        <v>71</v>
      </c>
      <c r="N84" s="46"/>
    </row>
    <row r="85" spans="1:14" ht="15" thickBot="1">
      <c r="A85" s="45" t="s">
        <v>71</v>
      </c>
      <c r="B85" s="79" t="s">
        <v>0</v>
      </c>
      <c r="C85" s="79" t="s">
        <v>1</v>
      </c>
      <c r="D85" s="79" t="s">
        <v>2</v>
      </c>
      <c r="E85" s="79" t="s">
        <v>3</v>
      </c>
      <c r="F85" s="79" t="s">
        <v>4</v>
      </c>
      <c r="G85" s="79" t="s">
        <v>5</v>
      </c>
      <c r="H85" s="79" t="s">
        <v>6</v>
      </c>
      <c r="I85" s="79" t="s">
        <v>7</v>
      </c>
      <c r="K85" s="68" t="s">
        <v>0</v>
      </c>
      <c r="L85" s="79" t="s">
        <v>1</v>
      </c>
      <c r="M85" s="79" t="s">
        <v>51</v>
      </c>
      <c r="N85" s="46"/>
    </row>
    <row r="86" spans="1:14">
      <c r="A86" s="45" t="s">
        <v>71</v>
      </c>
      <c r="B86" s="61" t="s">
        <v>8</v>
      </c>
      <c r="C86" s="80" t="s">
        <v>92</v>
      </c>
      <c r="D86" s="81"/>
      <c r="E86" s="82"/>
      <c r="F86" s="82"/>
      <c r="G86" s="83">
        <v>2.0833333333333332E-2</v>
      </c>
      <c r="H86" s="84"/>
      <c r="I86" s="85"/>
      <c r="K86" s="61" t="s">
        <v>8</v>
      </c>
      <c r="L86" s="80" t="s">
        <v>92</v>
      </c>
      <c r="M86" s="105">
        <v>2.0833333333333332E-2</v>
      </c>
      <c r="N86" s="46"/>
    </row>
    <row r="87" spans="1:14">
      <c r="A87" s="45" t="s">
        <v>71</v>
      </c>
      <c r="B87" s="62" t="s">
        <v>9</v>
      </c>
      <c r="C87" s="80" t="s">
        <v>93</v>
      </c>
      <c r="D87" s="86"/>
      <c r="E87" s="87"/>
      <c r="F87" s="87"/>
      <c r="G87" s="83">
        <v>1.3888888888888888E-2</v>
      </c>
      <c r="H87" s="84"/>
      <c r="I87" s="88"/>
      <c r="K87" s="62" t="s">
        <v>9</v>
      </c>
      <c r="L87" s="80" t="s">
        <v>93</v>
      </c>
      <c r="M87" s="105">
        <v>1.3888888888888888E-2</v>
      </c>
      <c r="N87" s="46"/>
    </row>
    <row r="88" spans="1:14">
      <c r="A88" s="45" t="s">
        <v>71</v>
      </c>
      <c r="B88" s="62" t="s">
        <v>10</v>
      </c>
      <c r="C88" s="89" t="s">
        <v>94</v>
      </c>
      <c r="D88" s="86"/>
      <c r="E88" s="87"/>
      <c r="F88" s="87"/>
      <c r="G88" s="83">
        <v>2.0833333333333332E-2</v>
      </c>
      <c r="H88" s="84"/>
      <c r="I88" s="88"/>
      <c r="K88" s="62" t="s">
        <v>10</v>
      </c>
      <c r="L88" s="89" t="s">
        <v>94</v>
      </c>
      <c r="M88" s="105">
        <v>2.0833333333333332E-2</v>
      </c>
      <c r="N88" s="46"/>
    </row>
    <row r="89" spans="1:14">
      <c r="A89" s="45" t="s">
        <v>71</v>
      </c>
      <c r="B89" s="62" t="s">
        <v>11</v>
      </c>
      <c r="C89" s="89" t="s">
        <v>95</v>
      </c>
      <c r="D89" s="86"/>
      <c r="E89" s="87"/>
      <c r="F89" s="87"/>
      <c r="G89" s="83">
        <v>1.0416666666666666E-2</v>
      </c>
      <c r="H89" s="84"/>
      <c r="I89" s="88"/>
      <c r="K89" s="62" t="s">
        <v>11</v>
      </c>
      <c r="L89" s="89" t="s">
        <v>95</v>
      </c>
      <c r="M89" s="105">
        <v>1.0416666666666666E-2</v>
      </c>
      <c r="N89" s="46"/>
    </row>
    <row r="90" spans="1:14">
      <c r="A90" s="45" t="s">
        <v>71</v>
      </c>
      <c r="B90" s="62" t="s">
        <v>12</v>
      </c>
      <c r="C90" s="89" t="s">
        <v>96</v>
      </c>
      <c r="D90" s="86"/>
      <c r="E90" s="87"/>
      <c r="F90" s="87"/>
      <c r="G90" s="83">
        <v>2.0833333333333332E-2</v>
      </c>
      <c r="H90" s="84"/>
      <c r="I90" s="88"/>
      <c r="K90" s="62" t="s">
        <v>12</v>
      </c>
      <c r="L90" s="89" t="s">
        <v>96</v>
      </c>
      <c r="M90" s="105">
        <v>2.0833333333333332E-2</v>
      </c>
      <c r="N90" s="46"/>
    </row>
    <row r="91" spans="1:14">
      <c r="A91" s="45" t="s">
        <v>71</v>
      </c>
      <c r="B91" s="62" t="s">
        <v>13</v>
      </c>
      <c r="C91" s="80" t="s">
        <v>97</v>
      </c>
      <c r="D91" s="86"/>
      <c r="E91" s="87"/>
      <c r="F91" s="87"/>
      <c r="G91" s="83">
        <v>1.3888888888888888E-2</v>
      </c>
      <c r="H91" s="84"/>
      <c r="I91" s="88"/>
      <c r="K91" s="62" t="s">
        <v>13</v>
      </c>
      <c r="L91" s="80" t="s">
        <v>97</v>
      </c>
      <c r="M91" s="105">
        <v>1.3888888888888888E-2</v>
      </c>
      <c r="N91" s="46"/>
    </row>
    <row r="92" spans="1:14">
      <c r="A92" s="45" t="s">
        <v>71</v>
      </c>
      <c r="B92" s="62" t="s">
        <v>14</v>
      </c>
      <c r="C92" s="89" t="s">
        <v>106</v>
      </c>
      <c r="D92" s="86"/>
      <c r="E92" s="87"/>
      <c r="F92" s="87"/>
      <c r="G92" s="83">
        <v>1.3888888888888888E-2</v>
      </c>
      <c r="H92" s="84"/>
      <c r="I92" s="88"/>
      <c r="K92" s="62" t="s">
        <v>14</v>
      </c>
      <c r="L92" s="89" t="s">
        <v>106</v>
      </c>
      <c r="M92" s="105">
        <v>1.3888888888888888E-2</v>
      </c>
      <c r="N92" s="46"/>
    </row>
    <row r="93" spans="1:14">
      <c r="A93" s="45" t="s">
        <v>71</v>
      </c>
      <c r="B93" s="62" t="s">
        <v>15</v>
      </c>
      <c r="C93" s="89" t="s">
        <v>105</v>
      </c>
      <c r="D93" s="86"/>
      <c r="E93" s="87"/>
      <c r="F93" s="87"/>
      <c r="G93" s="83">
        <v>1.3888888888888888E-2</v>
      </c>
      <c r="H93" s="84"/>
      <c r="I93" s="88"/>
      <c r="K93" s="62" t="s">
        <v>15</v>
      </c>
      <c r="L93" s="89" t="s">
        <v>105</v>
      </c>
      <c r="M93" s="105">
        <v>1.3888888888888888E-2</v>
      </c>
      <c r="N93" s="46"/>
    </row>
    <row r="94" spans="1:14">
      <c r="A94" s="45" t="s">
        <v>71</v>
      </c>
      <c r="B94" s="62" t="s">
        <v>16</v>
      </c>
      <c r="C94" s="89" t="s">
        <v>98</v>
      </c>
      <c r="D94" s="86"/>
      <c r="E94" s="87"/>
      <c r="F94" s="87"/>
      <c r="G94" s="83">
        <v>1.3888888888888888E-2</v>
      </c>
      <c r="H94" s="84"/>
      <c r="I94" s="88"/>
      <c r="K94" s="62" t="s">
        <v>16</v>
      </c>
      <c r="L94" s="89" t="s">
        <v>98</v>
      </c>
      <c r="M94" s="105">
        <v>1.3888888888888888E-2</v>
      </c>
      <c r="N94" s="46"/>
    </row>
    <row r="95" spans="1:14">
      <c r="A95" s="45" t="s">
        <v>71</v>
      </c>
      <c r="B95" s="62" t="s">
        <v>17</v>
      </c>
      <c r="C95" s="89" t="s">
        <v>99</v>
      </c>
      <c r="D95" s="86"/>
      <c r="E95" s="87"/>
      <c r="F95" s="87"/>
      <c r="G95" s="83">
        <v>1.3888888888888888E-2</v>
      </c>
      <c r="H95" s="84"/>
      <c r="I95" s="90"/>
      <c r="K95" s="62" t="s">
        <v>17</v>
      </c>
      <c r="L95" s="89" t="s">
        <v>99</v>
      </c>
      <c r="M95" s="105">
        <v>1.3888888888888888E-2</v>
      </c>
      <c r="N95" s="46"/>
    </row>
    <row r="96" spans="1:14">
      <c r="A96" s="45" t="s">
        <v>71</v>
      </c>
      <c r="B96" s="62" t="s">
        <v>18</v>
      </c>
      <c r="C96" s="89" t="s">
        <v>100</v>
      </c>
      <c r="D96" s="86"/>
      <c r="E96" s="91"/>
      <c r="F96" s="91"/>
      <c r="G96" s="83">
        <v>5.2083333333333336E-2</v>
      </c>
      <c r="H96" s="84"/>
      <c r="I96" s="90"/>
      <c r="K96" s="62" t="s">
        <v>18</v>
      </c>
      <c r="L96" s="89" t="s">
        <v>100</v>
      </c>
      <c r="M96" s="105">
        <v>5.2083333333333336E-2</v>
      </c>
      <c r="N96" s="46"/>
    </row>
    <row r="97" spans="1:14">
      <c r="A97" s="45" t="s">
        <v>71</v>
      </c>
      <c r="B97" s="62" t="s">
        <v>19</v>
      </c>
      <c r="C97" s="89" t="s">
        <v>101</v>
      </c>
      <c r="D97" s="86"/>
      <c r="E97" s="91"/>
      <c r="F97" s="91"/>
      <c r="G97" s="83">
        <v>3.125E-2</v>
      </c>
      <c r="H97" s="84"/>
      <c r="I97" s="90"/>
      <c r="K97" s="62" t="s">
        <v>19</v>
      </c>
      <c r="L97" s="89" t="s">
        <v>101</v>
      </c>
      <c r="M97" s="105">
        <v>3.125E-2</v>
      </c>
      <c r="N97" s="46"/>
    </row>
    <row r="98" spans="1:14">
      <c r="A98" s="45" t="s">
        <v>71</v>
      </c>
      <c r="B98" s="62" t="s">
        <v>20</v>
      </c>
      <c r="C98" s="89" t="s">
        <v>102</v>
      </c>
      <c r="D98" s="86"/>
      <c r="E98" s="91"/>
      <c r="F98" s="91"/>
      <c r="G98" s="83">
        <v>3.125E-2</v>
      </c>
      <c r="H98" s="84"/>
      <c r="I98" s="90"/>
      <c r="K98" s="62" t="s">
        <v>20</v>
      </c>
      <c r="L98" s="89" t="s">
        <v>102</v>
      </c>
      <c r="M98" s="105">
        <v>3.125E-2</v>
      </c>
      <c r="N98" s="46"/>
    </row>
    <row r="99" spans="1:14">
      <c r="A99" s="45" t="s">
        <v>71</v>
      </c>
      <c r="B99" s="62" t="s">
        <v>21</v>
      </c>
      <c r="C99" s="89" t="s">
        <v>103</v>
      </c>
      <c r="D99" s="86"/>
      <c r="E99" s="91"/>
      <c r="F99" s="91"/>
      <c r="G99" s="83">
        <v>3.125E-2</v>
      </c>
      <c r="H99" s="84"/>
      <c r="I99" s="90"/>
      <c r="K99" s="62" t="s">
        <v>21</v>
      </c>
      <c r="L99" s="89" t="s">
        <v>103</v>
      </c>
      <c r="M99" s="105">
        <v>3.125E-2</v>
      </c>
      <c r="N99" s="46"/>
    </row>
    <row r="100" spans="1:14" ht="15" thickBot="1">
      <c r="A100" s="45" t="s">
        <v>71</v>
      </c>
      <c r="B100" s="62" t="s">
        <v>22</v>
      </c>
      <c r="C100" s="89" t="s">
        <v>104</v>
      </c>
      <c r="D100" s="86"/>
      <c r="E100" s="91"/>
      <c r="F100" s="91"/>
      <c r="G100" s="83">
        <v>3.125E-2</v>
      </c>
      <c r="H100" s="84"/>
      <c r="I100" s="90"/>
      <c r="K100" s="70" t="s">
        <v>22</v>
      </c>
      <c r="L100" s="106" t="s">
        <v>104</v>
      </c>
      <c r="M100" s="107">
        <v>3.125E-2</v>
      </c>
      <c r="N100" s="46"/>
    </row>
    <row r="101" spans="1:14">
      <c r="A101" s="45" t="s">
        <v>71</v>
      </c>
      <c r="B101" s="62" t="s">
        <v>23</v>
      </c>
      <c r="C101" s="89"/>
      <c r="D101" s="86"/>
      <c r="E101" s="91"/>
      <c r="F101" s="91"/>
      <c r="G101" s="83">
        <v>0</v>
      </c>
      <c r="H101" s="84"/>
      <c r="I101" s="90"/>
      <c r="K101" s="102" t="s">
        <v>23</v>
      </c>
      <c r="L101" s="103"/>
      <c r="M101" s="104"/>
      <c r="N101" s="46"/>
    </row>
    <row r="102" spans="1:14">
      <c r="A102" s="45" t="s">
        <v>71</v>
      </c>
      <c r="B102" s="62" t="s">
        <v>24</v>
      </c>
      <c r="C102" s="92"/>
      <c r="D102" s="90"/>
      <c r="E102" s="91"/>
      <c r="F102" s="91"/>
      <c r="G102" s="83">
        <v>0</v>
      </c>
      <c r="H102" s="84"/>
      <c r="I102" s="90"/>
      <c r="K102" s="62" t="s">
        <v>24</v>
      </c>
      <c r="L102" s="73"/>
      <c r="M102" s="77"/>
      <c r="N102" s="46"/>
    </row>
    <row r="103" spans="1:14">
      <c r="A103" s="45" t="s">
        <v>71</v>
      </c>
      <c r="B103" s="62" t="s">
        <v>25</v>
      </c>
      <c r="C103" s="92"/>
      <c r="D103" s="90"/>
      <c r="E103" s="91"/>
      <c r="F103" s="91"/>
      <c r="G103" s="83">
        <v>0</v>
      </c>
      <c r="H103" s="84"/>
      <c r="I103" s="90"/>
      <c r="K103" s="62" t="s">
        <v>25</v>
      </c>
      <c r="L103" s="73"/>
      <c r="M103" s="77"/>
      <c r="N103" s="46"/>
    </row>
    <row r="104" spans="1:14" ht="15" thickBot="1">
      <c r="A104" s="45" t="s">
        <v>71</v>
      </c>
      <c r="B104" s="62" t="s">
        <v>26</v>
      </c>
      <c r="C104" s="92"/>
      <c r="D104" s="90"/>
      <c r="E104" s="91"/>
      <c r="F104" s="91"/>
      <c r="G104" s="83">
        <v>0</v>
      </c>
      <c r="H104" s="84"/>
      <c r="I104" s="90"/>
      <c r="K104" s="70" t="s">
        <v>26</v>
      </c>
      <c r="L104" s="74"/>
      <c r="M104" s="78"/>
      <c r="N104" s="46"/>
    </row>
    <row r="105" spans="1:14" ht="15" thickBot="1">
      <c r="A105" s="45" t="s">
        <v>71</v>
      </c>
      <c r="B105" s="93" t="s">
        <v>27</v>
      </c>
      <c r="C105" s="94"/>
      <c r="D105" s="94"/>
      <c r="E105" s="95"/>
      <c r="F105" s="95"/>
      <c r="G105" s="83">
        <v>0</v>
      </c>
      <c r="H105" s="84"/>
      <c r="I105" s="94"/>
      <c r="N105" s="46"/>
    </row>
    <row r="106" spans="1:14" ht="15" thickBot="1">
      <c r="A106" s="45" t="s">
        <v>71</v>
      </c>
      <c r="B106" s="96"/>
      <c r="C106" s="97"/>
      <c r="D106" s="98"/>
      <c r="E106" s="97"/>
      <c r="F106" s="99" t="s">
        <v>5</v>
      </c>
      <c r="G106" s="100">
        <f>SUM(G86:G105)</f>
        <v>0.33333333333333337</v>
      </c>
      <c r="H106" s="101"/>
      <c r="I106" s="98"/>
      <c r="M106" s="67"/>
      <c r="N106" s="46"/>
    </row>
    <row r="107" spans="1:14" ht="15" thickBot="1">
      <c r="A107" s="47" t="s">
        <v>71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9"/>
    </row>
    <row r="108" spans="1:14" ht="15" thickBot="1">
      <c r="D108" s="67"/>
    </row>
    <row r="109" spans="1:14" ht="15" thickBot="1">
      <c r="A109" s="50" t="s">
        <v>71</v>
      </c>
      <c r="B109" s="51" t="s">
        <v>71</v>
      </c>
      <c r="C109" s="51" t="s">
        <v>71</v>
      </c>
      <c r="D109" s="51" t="s">
        <v>71</v>
      </c>
      <c r="E109" s="51" t="s">
        <v>71</v>
      </c>
      <c r="F109" s="51" t="s">
        <v>71</v>
      </c>
      <c r="G109" s="51" t="s">
        <v>71</v>
      </c>
      <c r="H109" s="51" t="s">
        <v>71</v>
      </c>
      <c r="I109" s="51" t="s">
        <v>71</v>
      </c>
      <c r="J109" s="51" t="s">
        <v>71</v>
      </c>
      <c r="K109" s="51" t="s">
        <v>71</v>
      </c>
      <c r="L109" s="51" t="s">
        <v>71</v>
      </c>
      <c r="M109" s="51" t="s">
        <v>71</v>
      </c>
      <c r="N109" s="52" t="s">
        <v>71</v>
      </c>
    </row>
    <row r="110" spans="1:14" ht="21.6" thickBot="1">
      <c r="A110" s="45" t="s">
        <v>71</v>
      </c>
      <c r="B110" s="110" t="s">
        <v>107</v>
      </c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2"/>
      <c r="N110" s="46"/>
    </row>
    <row r="111" spans="1:14" ht="15" thickBot="1">
      <c r="A111" s="45" t="s">
        <v>71</v>
      </c>
      <c r="N111" s="46"/>
    </row>
    <row r="112" spans="1:14" ht="15" thickBot="1">
      <c r="A112" s="45" t="s">
        <v>71</v>
      </c>
      <c r="B112" s="79" t="s">
        <v>0</v>
      </c>
      <c r="C112" s="79" t="s">
        <v>1</v>
      </c>
      <c r="D112" s="79" t="s">
        <v>2</v>
      </c>
      <c r="E112" s="79" t="s">
        <v>3</v>
      </c>
      <c r="F112" s="79" t="s">
        <v>4</v>
      </c>
      <c r="G112" s="79" t="s">
        <v>5</v>
      </c>
      <c r="H112" s="79" t="s">
        <v>6</v>
      </c>
      <c r="I112" s="79" t="s">
        <v>7</v>
      </c>
      <c r="K112" s="68" t="s">
        <v>0</v>
      </c>
      <c r="L112" s="79" t="s">
        <v>1</v>
      </c>
      <c r="M112" s="79" t="s">
        <v>51</v>
      </c>
      <c r="N112" s="46"/>
    </row>
    <row r="113" spans="1:14">
      <c r="A113" s="45" t="s">
        <v>71</v>
      </c>
      <c r="B113" s="61" t="s">
        <v>8</v>
      </c>
      <c r="C113" s="80" t="s">
        <v>92</v>
      </c>
      <c r="D113" s="81"/>
      <c r="E113" s="82"/>
      <c r="F113" s="82"/>
      <c r="G113" s="83">
        <v>2.0833333333333332E-2</v>
      </c>
      <c r="H113" s="84"/>
      <c r="I113" s="85"/>
      <c r="K113" s="61" t="s">
        <v>8</v>
      </c>
      <c r="L113" s="80" t="s">
        <v>92</v>
      </c>
      <c r="M113" s="105">
        <v>2.0833333333333332E-2</v>
      </c>
      <c r="N113" s="46"/>
    </row>
    <row r="114" spans="1:14">
      <c r="A114" s="45" t="s">
        <v>71</v>
      </c>
      <c r="B114" s="62" t="s">
        <v>9</v>
      </c>
      <c r="C114" s="80" t="s">
        <v>93</v>
      </c>
      <c r="D114" s="86"/>
      <c r="E114" s="87"/>
      <c r="F114" s="87"/>
      <c r="G114" s="83">
        <v>1.3888888888888888E-2</v>
      </c>
      <c r="H114" s="84"/>
      <c r="I114" s="88"/>
      <c r="K114" s="62" t="s">
        <v>9</v>
      </c>
      <c r="L114" s="80" t="s">
        <v>93</v>
      </c>
      <c r="M114" s="105">
        <v>1.3888888888888888E-2</v>
      </c>
      <c r="N114" s="46"/>
    </row>
    <row r="115" spans="1:14">
      <c r="A115" s="45" t="s">
        <v>71</v>
      </c>
      <c r="B115" s="62" t="s">
        <v>10</v>
      </c>
      <c r="C115" s="89" t="s">
        <v>94</v>
      </c>
      <c r="D115" s="86"/>
      <c r="E115" s="87"/>
      <c r="F115" s="87"/>
      <c r="G115" s="83">
        <v>2.0833333333333332E-2</v>
      </c>
      <c r="H115" s="84"/>
      <c r="I115" s="88"/>
      <c r="K115" s="62" t="s">
        <v>10</v>
      </c>
      <c r="L115" s="89" t="s">
        <v>94</v>
      </c>
      <c r="M115" s="105">
        <v>2.0833333333333332E-2</v>
      </c>
      <c r="N115" s="46"/>
    </row>
    <row r="116" spans="1:14">
      <c r="A116" s="45" t="s">
        <v>71</v>
      </c>
      <c r="B116" s="62" t="s">
        <v>11</v>
      </c>
      <c r="C116" s="89" t="s">
        <v>95</v>
      </c>
      <c r="D116" s="86"/>
      <c r="E116" s="87"/>
      <c r="F116" s="87"/>
      <c r="G116" s="83">
        <v>1.0416666666666666E-2</v>
      </c>
      <c r="H116" s="84"/>
      <c r="I116" s="88"/>
      <c r="K116" s="62" t="s">
        <v>11</v>
      </c>
      <c r="L116" s="89" t="s">
        <v>95</v>
      </c>
      <c r="M116" s="105">
        <v>1.0416666666666666E-2</v>
      </c>
      <c r="N116" s="46"/>
    </row>
    <row r="117" spans="1:14">
      <c r="A117" s="45" t="s">
        <v>71</v>
      </c>
      <c r="B117" s="62" t="s">
        <v>12</v>
      </c>
      <c r="C117" s="89" t="s">
        <v>96</v>
      </c>
      <c r="D117" s="86"/>
      <c r="E117" s="87"/>
      <c r="F117" s="87"/>
      <c r="G117" s="83">
        <v>2.0833333333333332E-2</v>
      </c>
      <c r="H117" s="84"/>
      <c r="I117" s="88"/>
      <c r="K117" s="62" t="s">
        <v>12</v>
      </c>
      <c r="L117" s="89" t="s">
        <v>96</v>
      </c>
      <c r="M117" s="105">
        <v>2.0833333333333332E-2</v>
      </c>
      <c r="N117" s="46"/>
    </row>
    <row r="118" spans="1:14">
      <c r="A118" s="45" t="s">
        <v>71</v>
      </c>
      <c r="B118" s="62" t="s">
        <v>13</v>
      </c>
      <c r="C118" s="80" t="s">
        <v>97</v>
      </c>
      <c r="D118" s="86"/>
      <c r="E118" s="87"/>
      <c r="F118" s="87"/>
      <c r="G118" s="83">
        <v>1.3888888888888888E-2</v>
      </c>
      <c r="H118" s="84"/>
      <c r="I118" s="88"/>
      <c r="K118" s="62" t="s">
        <v>13</v>
      </c>
      <c r="L118" s="80" t="s">
        <v>97</v>
      </c>
      <c r="M118" s="105">
        <v>1.3888888888888888E-2</v>
      </c>
      <c r="N118" s="46"/>
    </row>
    <row r="119" spans="1:14">
      <c r="A119" s="45" t="s">
        <v>71</v>
      </c>
      <c r="B119" s="62" t="s">
        <v>14</v>
      </c>
      <c r="C119" s="89" t="s">
        <v>106</v>
      </c>
      <c r="D119" s="86"/>
      <c r="E119" s="87"/>
      <c r="F119" s="87"/>
      <c r="G119" s="83">
        <v>1.3888888888888888E-2</v>
      </c>
      <c r="H119" s="84"/>
      <c r="I119" s="88"/>
      <c r="K119" s="62" t="s">
        <v>14</v>
      </c>
      <c r="L119" s="89" t="s">
        <v>106</v>
      </c>
      <c r="M119" s="105">
        <v>1.3888888888888888E-2</v>
      </c>
      <c r="N119" s="46"/>
    </row>
    <row r="120" spans="1:14">
      <c r="A120" s="45" t="s">
        <v>71</v>
      </c>
      <c r="B120" s="62" t="s">
        <v>15</v>
      </c>
      <c r="C120" s="89" t="s">
        <v>105</v>
      </c>
      <c r="D120" s="86"/>
      <c r="E120" s="87"/>
      <c r="F120" s="87"/>
      <c r="G120" s="83">
        <v>1.3888888888888888E-2</v>
      </c>
      <c r="H120" s="84"/>
      <c r="I120" s="88"/>
      <c r="K120" s="62" t="s">
        <v>15</v>
      </c>
      <c r="L120" s="89" t="s">
        <v>105</v>
      </c>
      <c r="M120" s="105">
        <v>1.3888888888888888E-2</v>
      </c>
      <c r="N120" s="46"/>
    </row>
    <row r="121" spans="1:14">
      <c r="A121" s="45" t="s">
        <v>71</v>
      </c>
      <c r="B121" s="62" t="s">
        <v>16</v>
      </c>
      <c r="C121" s="89" t="s">
        <v>98</v>
      </c>
      <c r="D121" s="86"/>
      <c r="E121" s="87"/>
      <c r="F121" s="87"/>
      <c r="G121" s="83">
        <v>1.3888888888888888E-2</v>
      </c>
      <c r="H121" s="84"/>
      <c r="I121" s="88"/>
      <c r="K121" s="62" t="s">
        <v>16</v>
      </c>
      <c r="L121" s="89" t="s">
        <v>98</v>
      </c>
      <c r="M121" s="105">
        <v>1.3888888888888888E-2</v>
      </c>
      <c r="N121" s="46"/>
    </row>
    <row r="122" spans="1:14">
      <c r="A122" s="45" t="s">
        <v>71</v>
      </c>
      <c r="B122" s="62" t="s">
        <v>17</v>
      </c>
      <c r="C122" s="89" t="s">
        <v>99</v>
      </c>
      <c r="D122" s="86"/>
      <c r="E122" s="87"/>
      <c r="F122" s="87"/>
      <c r="G122" s="83">
        <v>1.3888888888888888E-2</v>
      </c>
      <c r="H122" s="84"/>
      <c r="I122" s="90"/>
      <c r="K122" s="62" t="s">
        <v>17</v>
      </c>
      <c r="L122" s="89" t="s">
        <v>99</v>
      </c>
      <c r="M122" s="105">
        <v>1.3888888888888888E-2</v>
      </c>
      <c r="N122" s="46"/>
    </row>
    <row r="123" spans="1:14">
      <c r="A123" s="45" t="s">
        <v>71</v>
      </c>
      <c r="B123" s="62" t="s">
        <v>18</v>
      </c>
      <c r="C123" s="89" t="s">
        <v>100</v>
      </c>
      <c r="D123" s="86"/>
      <c r="E123" s="91"/>
      <c r="F123" s="91"/>
      <c r="G123" s="83">
        <v>5.2083333333333336E-2</v>
      </c>
      <c r="H123" s="84"/>
      <c r="I123" s="90"/>
      <c r="K123" s="62" t="s">
        <v>18</v>
      </c>
      <c r="L123" s="89" t="s">
        <v>100</v>
      </c>
      <c r="M123" s="105">
        <v>5.2083333333333336E-2</v>
      </c>
      <c r="N123" s="46"/>
    </row>
    <row r="124" spans="1:14">
      <c r="A124" s="45" t="s">
        <v>71</v>
      </c>
      <c r="B124" s="62" t="s">
        <v>19</v>
      </c>
      <c r="C124" s="89" t="s">
        <v>101</v>
      </c>
      <c r="D124" s="86"/>
      <c r="E124" s="91"/>
      <c r="F124" s="91"/>
      <c r="G124" s="83">
        <v>3.125E-2</v>
      </c>
      <c r="H124" s="84"/>
      <c r="I124" s="90"/>
      <c r="K124" s="62" t="s">
        <v>19</v>
      </c>
      <c r="L124" s="89" t="s">
        <v>101</v>
      </c>
      <c r="M124" s="105">
        <v>3.125E-2</v>
      </c>
      <c r="N124" s="46"/>
    </row>
    <row r="125" spans="1:14">
      <c r="A125" s="45" t="s">
        <v>71</v>
      </c>
      <c r="B125" s="62" t="s">
        <v>20</v>
      </c>
      <c r="C125" s="89" t="s">
        <v>102</v>
      </c>
      <c r="D125" s="86"/>
      <c r="E125" s="91"/>
      <c r="F125" s="91"/>
      <c r="G125" s="83">
        <v>3.125E-2</v>
      </c>
      <c r="H125" s="84"/>
      <c r="I125" s="90"/>
      <c r="K125" s="62" t="s">
        <v>20</v>
      </c>
      <c r="L125" s="89" t="s">
        <v>102</v>
      </c>
      <c r="M125" s="105">
        <v>3.125E-2</v>
      </c>
      <c r="N125" s="46"/>
    </row>
    <row r="126" spans="1:14">
      <c r="A126" s="45" t="s">
        <v>71</v>
      </c>
      <c r="B126" s="62" t="s">
        <v>21</v>
      </c>
      <c r="C126" s="89" t="s">
        <v>103</v>
      </c>
      <c r="D126" s="86"/>
      <c r="E126" s="91"/>
      <c r="F126" s="91"/>
      <c r="G126" s="83">
        <v>3.125E-2</v>
      </c>
      <c r="H126" s="84"/>
      <c r="I126" s="90"/>
      <c r="K126" s="62" t="s">
        <v>21</v>
      </c>
      <c r="L126" s="89" t="s">
        <v>103</v>
      </c>
      <c r="M126" s="105">
        <v>3.125E-2</v>
      </c>
      <c r="N126" s="46"/>
    </row>
    <row r="127" spans="1:14" ht="15" thickBot="1">
      <c r="A127" s="45" t="s">
        <v>71</v>
      </c>
      <c r="B127" s="62" t="s">
        <v>22</v>
      </c>
      <c r="C127" s="89" t="s">
        <v>104</v>
      </c>
      <c r="D127" s="86"/>
      <c r="E127" s="91"/>
      <c r="F127" s="91"/>
      <c r="G127" s="83">
        <v>3.125E-2</v>
      </c>
      <c r="H127" s="84"/>
      <c r="I127" s="90"/>
      <c r="K127" s="70" t="s">
        <v>22</v>
      </c>
      <c r="L127" s="106" t="s">
        <v>104</v>
      </c>
      <c r="M127" s="107">
        <v>3.125E-2</v>
      </c>
      <c r="N127" s="46"/>
    </row>
    <row r="128" spans="1:14">
      <c r="A128" s="45" t="s">
        <v>71</v>
      </c>
      <c r="B128" s="62" t="s">
        <v>23</v>
      </c>
      <c r="C128" s="89"/>
      <c r="D128" s="86"/>
      <c r="E128" s="91"/>
      <c r="F128" s="91"/>
      <c r="G128" s="83">
        <v>0</v>
      </c>
      <c r="H128" s="84"/>
      <c r="I128" s="90"/>
      <c r="K128" s="102" t="s">
        <v>23</v>
      </c>
      <c r="L128" s="103"/>
      <c r="M128" s="104"/>
      <c r="N128" s="46"/>
    </row>
    <row r="129" spans="1:14">
      <c r="A129" s="45" t="s">
        <v>71</v>
      </c>
      <c r="B129" s="62" t="s">
        <v>24</v>
      </c>
      <c r="C129" s="92"/>
      <c r="D129" s="90"/>
      <c r="E129" s="91"/>
      <c r="F129" s="91"/>
      <c r="G129" s="83">
        <v>0</v>
      </c>
      <c r="H129" s="84"/>
      <c r="I129" s="90"/>
      <c r="K129" s="62" t="s">
        <v>24</v>
      </c>
      <c r="L129" s="73"/>
      <c r="M129" s="77"/>
      <c r="N129" s="46"/>
    </row>
    <row r="130" spans="1:14">
      <c r="A130" s="45" t="s">
        <v>71</v>
      </c>
      <c r="B130" s="62" t="s">
        <v>25</v>
      </c>
      <c r="C130" s="92"/>
      <c r="D130" s="90"/>
      <c r="E130" s="91"/>
      <c r="F130" s="91"/>
      <c r="G130" s="83">
        <v>0</v>
      </c>
      <c r="H130" s="84"/>
      <c r="I130" s="90"/>
      <c r="K130" s="62" t="s">
        <v>25</v>
      </c>
      <c r="L130" s="73"/>
      <c r="M130" s="77"/>
      <c r="N130" s="46"/>
    </row>
    <row r="131" spans="1:14" ht="15" thickBot="1">
      <c r="A131" s="45" t="s">
        <v>71</v>
      </c>
      <c r="B131" s="62" t="s">
        <v>26</v>
      </c>
      <c r="C131" s="92"/>
      <c r="D131" s="90"/>
      <c r="E131" s="91"/>
      <c r="F131" s="91"/>
      <c r="G131" s="83">
        <v>0</v>
      </c>
      <c r="H131" s="84"/>
      <c r="I131" s="90"/>
      <c r="K131" s="70" t="s">
        <v>26</v>
      </c>
      <c r="L131" s="74"/>
      <c r="M131" s="78"/>
      <c r="N131" s="46"/>
    </row>
    <row r="132" spans="1:14" ht="15" thickBot="1">
      <c r="A132" s="45" t="s">
        <v>71</v>
      </c>
      <c r="B132" s="93" t="s">
        <v>27</v>
      </c>
      <c r="C132" s="94"/>
      <c r="D132" s="94"/>
      <c r="E132" s="95"/>
      <c r="F132" s="95"/>
      <c r="G132" s="83">
        <v>0</v>
      </c>
      <c r="H132" s="84"/>
      <c r="I132" s="94"/>
      <c r="N132" s="46"/>
    </row>
    <row r="133" spans="1:14" ht="15" thickBot="1">
      <c r="A133" s="45" t="s">
        <v>71</v>
      </c>
      <c r="B133" s="96"/>
      <c r="C133" s="97"/>
      <c r="D133" s="98"/>
      <c r="E133" s="97"/>
      <c r="F133" s="99" t="s">
        <v>5</v>
      </c>
      <c r="G133" s="100">
        <f>SUM(G113:G132)</f>
        <v>0.33333333333333337</v>
      </c>
      <c r="H133" s="101"/>
      <c r="I133" s="98"/>
      <c r="M133" s="67"/>
      <c r="N133" s="46"/>
    </row>
    <row r="134" spans="1:14" ht="15" thickBot="1">
      <c r="A134" s="47" t="s">
        <v>71</v>
      </c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9"/>
    </row>
    <row r="135" spans="1:14" ht="15" thickBot="1"/>
    <row r="136" spans="1:14" ht="15" thickBot="1">
      <c r="A136" s="50" t="s">
        <v>71</v>
      </c>
      <c r="B136" s="51" t="s">
        <v>71</v>
      </c>
      <c r="C136" s="51" t="s">
        <v>71</v>
      </c>
      <c r="D136" s="51" t="s">
        <v>71</v>
      </c>
      <c r="E136" s="51" t="s">
        <v>71</v>
      </c>
      <c r="F136" s="51" t="s">
        <v>71</v>
      </c>
      <c r="G136" s="51" t="s">
        <v>71</v>
      </c>
      <c r="H136" s="51" t="s">
        <v>71</v>
      </c>
      <c r="I136" s="51" t="s">
        <v>71</v>
      </c>
      <c r="J136" s="51" t="s">
        <v>71</v>
      </c>
      <c r="K136" s="51" t="s">
        <v>71</v>
      </c>
      <c r="L136" s="51" t="s">
        <v>71</v>
      </c>
      <c r="M136" s="51" t="s">
        <v>71</v>
      </c>
      <c r="N136" s="52" t="s">
        <v>71</v>
      </c>
    </row>
    <row r="137" spans="1:14" ht="21.6" thickBot="1">
      <c r="A137" s="45" t="s">
        <v>71</v>
      </c>
      <c r="B137" s="110" t="s">
        <v>108</v>
      </c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2"/>
      <c r="N137" s="46"/>
    </row>
    <row r="138" spans="1:14" ht="15" thickBot="1">
      <c r="A138" s="45" t="s">
        <v>71</v>
      </c>
      <c r="N138" s="46"/>
    </row>
    <row r="139" spans="1:14" ht="15" thickBot="1">
      <c r="A139" s="45" t="s">
        <v>71</v>
      </c>
      <c r="B139" s="79" t="s">
        <v>0</v>
      </c>
      <c r="C139" s="79" t="s">
        <v>1</v>
      </c>
      <c r="D139" s="79" t="s">
        <v>2</v>
      </c>
      <c r="E139" s="79" t="s">
        <v>3</v>
      </c>
      <c r="F139" s="79" t="s">
        <v>4</v>
      </c>
      <c r="G139" s="79" t="s">
        <v>5</v>
      </c>
      <c r="H139" s="79" t="s">
        <v>6</v>
      </c>
      <c r="I139" s="79" t="s">
        <v>7</v>
      </c>
      <c r="K139" s="68" t="s">
        <v>0</v>
      </c>
      <c r="L139" s="79" t="s">
        <v>1</v>
      </c>
      <c r="M139" s="79" t="s">
        <v>51</v>
      </c>
      <c r="N139" s="46"/>
    </row>
    <row r="140" spans="1:14">
      <c r="A140" s="45" t="s">
        <v>71</v>
      </c>
      <c r="B140" s="61" t="s">
        <v>8</v>
      </c>
      <c r="C140" s="80" t="s">
        <v>114</v>
      </c>
      <c r="D140" s="81"/>
      <c r="E140" s="82"/>
      <c r="F140" s="82"/>
      <c r="G140" s="83">
        <v>2.4305555555555556E-2</v>
      </c>
      <c r="H140" s="84"/>
      <c r="I140" s="85"/>
      <c r="K140" s="61" t="s">
        <v>8</v>
      </c>
      <c r="L140" s="80" t="s">
        <v>114</v>
      </c>
      <c r="M140" s="83">
        <v>2.4305555555555556E-2</v>
      </c>
      <c r="N140" s="46"/>
    </row>
    <row r="141" spans="1:14">
      <c r="A141" s="45" t="s">
        <v>71</v>
      </c>
      <c r="B141" s="62" t="s">
        <v>9</v>
      </c>
      <c r="C141" s="80" t="s">
        <v>109</v>
      </c>
      <c r="D141" s="86"/>
      <c r="E141" s="87"/>
      <c r="F141" s="87"/>
      <c r="G141" s="83">
        <v>2.0833333333333332E-2</v>
      </c>
      <c r="H141" s="84"/>
      <c r="I141" s="88"/>
      <c r="K141" s="62" t="s">
        <v>9</v>
      </c>
      <c r="L141" s="80" t="s">
        <v>109</v>
      </c>
      <c r="M141" s="83">
        <v>2.0833333333333332E-2</v>
      </c>
      <c r="N141" s="46"/>
    </row>
    <row r="142" spans="1:14">
      <c r="A142" s="45" t="s">
        <v>71</v>
      </c>
      <c r="B142" s="62" t="s">
        <v>10</v>
      </c>
      <c r="C142" s="89" t="s">
        <v>110</v>
      </c>
      <c r="D142" s="86"/>
      <c r="E142" s="87"/>
      <c r="F142" s="87"/>
      <c r="G142" s="83">
        <v>4.1666666666666664E-2</v>
      </c>
      <c r="H142" s="84"/>
      <c r="I142" s="88"/>
      <c r="K142" s="62" t="s">
        <v>10</v>
      </c>
      <c r="L142" s="89" t="s">
        <v>110</v>
      </c>
      <c r="M142" s="83">
        <v>4.1666666666666664E-2</v>
      </c>
      <c r="N142" s="46"/>
    </row>
    <row r="143" spans="1:14">
      <c r="A143" s="45" t="s">
        <v>71</v>
      </c>
      <c r="B143" s="62" t="s">
        <v>11</v>
      </c>
      <c r="C143" s="89" t="s">
        <v>111</v>
      </c>
      <c r="D143" s="86"/>
      <c r="E143" s="87"/>
      <c r="F143" s="87"/>
      <c r="G143" s="83">
        <v>2.0833333333333332E-2</v>
      </c>
      <c r="H143" s="84"/>
      <c r="I143" s="88"/>
      <c r="K143" s="62" t="s">
        <v>11</v>
      </c>
      <c r="L143" s="89" t="s">
        <v>111</v>
      </c>
      <c r="M143" s="83">
        <v>2.0833333333333332E-2</v>
      </c>
      <c r="N143" s="46"/>
    </row>
    <row r="144" spans="1:14">
      <c r="A144" s="45" t="s">
        <v>71</v>
      </c>
      <c r="B144" s="62" t="s">
        <v>12</v>
      </c>
      <c r="C144" s="89" t="s">
        <v>112</v>
      </c>
      <c r="D144" s="86"/>
      <c r="E144" s="87"/>
      <c r="F144" s="87"/>
      <c r="G144" s="83">
        <v>0.11458333333333333</v>
      </c>
      <c r="H144" s="84"/>
      <c r="I144" s="88"/>
      <c r="K144" s="62" t="s">
        <v>12</v>
      </c>
      <c r="L144" s="89" t="s">
        <v>112</v>
      </c>
      <c r="M144" s="83">
        <v>0.11458333333333333</v>
      </c>
      <c r="N144" s="46"/>
    </row>
    <row r="145" spans="1:14">
      <c r="A145" s="45" t="s">
        <v>71</v>
      </c>
      <c r="B145" s="62" t="s">
        <v>13</v>
      </c>
      <c r="C145" s="80" t="s">
        <v>113</v>
      </c>
      <c r="D145" s="86"/>
      <c r="E145" s="87"/>
      <c r="F145" s="87"/>
      <c r="G145" s="83">
        <v>3.4722222222222224E-2</v>
      </c>
      <c r="H145" s="84"/>
      <c r="I145" s="88"/>
      <c r="K145" s="62" t="s">
        <v>13</v>
      </c>
      <c r="L145" s="80" t="s">
        <v>113</v>
      </c>
      <c r="M145" s="83">
        <v>3.4722222222222224E-2</v>
      </c>
      <c r="N145" s="46"/>
    </row>
    <row r="146" spans="1:14">
      <c r="A146" s="45" t="s">
        <v>71</v>
      </c>
      <c r="B146" s="62" t="s">
        <v>14</v>
      </c>
      <c r="C146" s="89" t="s">
        <v>103</v>
      </c>
      <c r="D146" s="86"/>
      <c r="E146" s="87"/>
      <c r="F146" s="87"/>
      <c r="G146" s="83">
        <v>5.9027777777777776E-2</v>
      </c>
      <c r="H146" s="84"/>
      <c r="I146" s="88"/>
      <c r="K146" s="62" t="s">
        <v>14</v>
      </c>
      <c r="L146" s="89" t="s">
        <v>103</v>
      </c>
      <c r="M146" s="83">
        <v>5.9027777777777776E-2</v>
      </c>
      <c r="N146" s="46"/>
    </row>
    <row r="147" spans="1:14">
      <c r="A147" s="45" t="s">
        <v>71</v>
      </c>
      <c r="B147" s="62" t="s">
        <v>15</v>
      </c>
      <c r="C147" s="89"/>
      <c r="D147" s="86"/>
      <c r="E147" s="87"/>
      <c r="F147" s="87"/>
      <c r="G147" s="83">
        <v>0</v>
      </c>
      <c r="H147" s="84"/>
      <c r="I147" s="88"/>
      <c r="K147" s="62" t="s">
        <v>15</v>
      </c>
      <c r="L147" s="89"/>
      <c r="M147" s="105"/>
      <c r="N147" s="46"/>
    </row>
    <row r="148" spans="1:14">
      <c r="A148" s="45" t="s">
        <v>71</v>
      </c>
      <c r="B148" s="62" t="s">
        <v>16</v>
      </c>
      <c r="C148" s="89"/>
      <c r="D148" s="86"/>
      <c r="E148" s="87"/>
      <c r="F148" s="87"/>
      <c r="G148" s="83">
        <v>0</v>
      </c>
      <c r="H148" s="84"/>
      <c r="I148" s="88"/>
      <c r="K148" s="62" t="s">
        <v>16</v>
      </c>
      <c r="L148" s="89"/>
      <c r="M148" s="105"/>
      <c r="N148" s="46"/>
    </row>
    <row r="149" spans="1:14">
      <c r="A149" s="45" t="s">
        <v>71</v>
      </c>
      <c r="B149" s="62" t="s">
        <v>17</v>
      </c>
      <c r="C149" s="89"/>
      <c r="D149" s="86"/>
      <c r="E149" s="87"/>
      <c r="F149" s="87"/>
      <c r="G149" s="83">
        <v>0</v>
      </c>
      <c r="H149" s="84"/>
      <c r="I149" s="90"/>
      <c r="K149" s="62" t="s">
        <v>17</v>
      </c>
      <c r="L149" s="89"/>
      <c r="M149" s="105"/>
      <c r="N149" s="46"/>
    </row>
    <row r="150" spans="1:14">
      <c r="A150" s="45" t="s">
        <v>71</v>
      </c>
      <c r="B150" s="62" t="s">
        <v>18</v>
      </c>
      <c r="C150" s="89"/>
      <c r="D150" s="86"/>
      <c r="E150" s="91"/>
      <c r="F150" s="91"/>
      <c r="G150" s="83">
        <v>0</v>
      </c>
      <c r="H150" s="84"/>
      <c r="I150" s="90"/>
      <c r="K150" s="62" t="s">
        <v>18</v>
      </c>
      <c r="L150" s="89"/>
      <c r="M150" s="105"/>
      <c r="N150" s="46"/>
    </row>
    <row r="151" spans="1:14">
      <c r="A151" s="45" t="s">
        <v>71</v>
      </c>
      <c r="B151" s="62" t="s">
        <v>19</v>
      </c>
      <c r="C151" s="89"/>
      <c r="D151" s="86"/>
      <c r="E151" s="91"/>
      <c r="F151" s="91"/>
      <c r="G151" s="83">
        <v>0</v>
      </c>
      <c r="H151" s="84"/>
      <c r="I151" s="90"/>
      <c r="K151" s="62" t="s">
        <v>19</v>
      </c>
      <c r="L151" s="89"/>
      <c r="M151" s="105"/>
      <c r="N151" s="46"/>
    </row>
    <row r="152" spans="1:14">
      <c r="A152" s="45" t="s">
        <v>71</v>
      </c>
      <c r="B152" s="62" t="s">
        <v>20</v>
      </c>
      <c r="C152" s="89"/>
      <c r="D152" s="86"/>
      <c r="E152" s="91"/>
      <c r="F152" s="91"/>
      <c r="G152" s="83">
        <v>0</v>
      </c>
      <c r="H152" s="84"/>
      <c r="I152" s="90"/>
      <c r="K152" s="62" t="s">
        <v>20</v>
      </c>
      <c r="L152" s="89"/>
      <c r="M152" s="105"/>
      <c r="N152" s="46"/>
    </row>
    <row r="153" spans="1:14">
      <c r="A153" s="45" t="s">
        <v>71</v>
      </c>
      <c r="B153" s="62" t="s">
        <v>21</v>
      </c>
      <c r="C153" s="89"/>
      <c r="D153" s="86"/>
      <c r="E153" s="91"/>
      <c r="F153" s="91"/>
      <c r="G153" s="83">
        <v>0</v>
      </c>
      <c r="H153" s="84"/>
      <c r="I153" s="90"/>
      <c r="K153" s="62" t="s">
        <v>21</v>
      </c>
      <c r="L153" s="89"/>
      <c r="M153" s="105"/>
      <c r="N153" s="46"/>
    </row>
    <row r="154" spans="1:14" ht="15" thickBot="1">
      <c r="A154" s="45" t="s">
        <v>71</v>
      </c>
      <c r="B154" s="62" t="s">
        <v>22</v>
      </c>
      <c r="C154" s="89"/>
      <c r="D154" s="86"/>
      <c r="E154" s="91"/>
      <c r="F154" s="91"/>
      <c r="G154" s="83">
        <v>0</v>
      </c>
      <c r="H154" s="84"/>
      <c r="I154" s="90"/>
      <c r="K154" s="70" t="s">
        <v>22</v>
      </c>
      <c r="L154" s="106"/>
      <c r="M154" s="107"/>
      <c r="N154" s="46"/>
    </row>
    <row r="155" spans="1:14">
      <c r="A155" s="45" t="s">
        <v>71</v>
      </c>
      <c r="B155" s="62" t="s">
        <v>23</v>
      </c>
      <c r="C155" s="89"/>
      <c r="D155" s="86"/>
      <c r="E155" s="91"/>
      <c r="F155" s="91"/>
      <c r="G155" s="83">
        <v>0</v>
      </c>
      <c r="H155" s="84"/>
      <c r="I155" s="90"/>
      <c r="K155" s="102" t="s">
        <v>23</v>
      </c>
      <c r="L155" s="103"/>
      <c r="M155" s="104"/>
      <c r="N155" s="46"/>
    </row>
    <row r="156" spans="1:14">
      <c r="A156" s="45" t="s">
        <v>71</v>
      </c>
      <c r="B156" s="62" t="s">
        <v>24</v>
      </c>
      <c r="C156" s="92"/>
      <c r="D156" s="90"/>
      <c r="E156" s="91"/>
      <c r="F156" s="91"/>
      <c r="G156" s="83">
        <v>0</v>
      </c>
      <c r="H156" s="84"/>
      <c r="I156" s="90"/>
      <c r="K156" s="62" t="s">
        <v>24</v>
      </c>
      <c r="L156" s="73"/>
      <c r="M156" s="77"/>
      <c r="N156" s="46"/>
    </row>
    <row r="157" spans="1:14">
      <c r="A157" s="45" t="s">
        <v>71</v>
      </c>
      <c r="B157" s="62" t="s">
        <v>25</v>
      </c>
      <c r="C157" s="92"/>
      <c r="D157" s="90"/>
      <c r="E157" s="91"/>
      <c r="F157" s="91"/>
      <c r="G157" s="83">
        <v>0</v>
      </c>
      <c r="H157" s="84"/>
      <c r="I157" s="90"/>
      <c r="K157" s="62" t="s">
        <v>25</v>
      </c>
      <c r="L157" s="73"/>
      <c r="M157" s="77"/>
      <c r="N157" s="46"/>
    </row>
    <row r="158" spans="1:14" ht="15" thickBot="1">
      <c r="A158" s="45" t="s">
        <v>71</v>
      </c>
      <c r="B158" s="62" t="s">
        <v>26</v>
      </c>
      <c r="C158" s="92"/>
      <c r="D158" s="90"/>
      <c r="E158" s="91"/>
      <c r="F158" s="91"/>
      <c r="G158" s="83">
        <v>0</v>
      </c>
      <c r="H158" s="84"/>
      <c r="I158" s="90"/>
      <c r="K158" s="70" t="s">
        <v>26</v>
      </c>
      <c r="L158" s="74"/>
      <c r="M158" s="78"/>
      <c r="N158" s="46"/>
    </row>
    <row r="159" spans="1:14" ht="15" thickBot="1">
      <c r="A159" s="45" t="s">
        <v>71</v>
      </c>
      <c r="B159" s="93" t="s">
        <v>27</v>
      </c>
      <c r="C159" s="94"/>
      <c r="D159" s="94"/>
      <c r="E159" s="95"/>
      <c r="F159" s="95"/>
      <c r="G159" s="83">
        <v>0</v>
      </c>
      <c r="H159" s="84"/>
      <c r="I159" s="94"/>
      <c r="N159" s="46"/>
    </row>
    <row r="160" spans="1:14" ht="15" thickBot="1">
      <c r="A160" s="45" t="s">
        <v>71</v>
      </c>
      <c r="B160" s="96"/>
      <c r="C160" s="97"/>
      <c r="D160" s="98"/>
      <c r="E160" s="97"/>
      <c r="F160" s="99" t="s">
        <v>5</v>
      </c>
      <c r="G160" s="100">
        <f>SUM(G140:G159)</f>
        <v>0.31597222222222221</v>
      </c>
      <c r="H160" s="101"/>
      <c r="I160" s="98"/>
      <c r="M160" s="67"/>
      <c r="N160" s="46"/>
    </row>
    <row r="161" spans="1:14" ht="15" thickBot="1">
      <c r="A161" s="47" t="s">
        <v>71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9"/>
    </row>
    <row r="162" spans="1:14" ht="15" thickBot="1"/>
    <row r="163" spans="1:14" ht="15" thickBot="1">
      <c r="A163" s="50" t="s">
        <v>71</v>
      </c>
      <c r="B163" s="51" t="s">
        <v>71</v>
      </c>
      <c r="C163" s="51" t="s">
        <v>71</v>
      </c>
      <c r="D163" s="51" t="s">
        <v>71</v>
      </c>
      <c r="E163" s="51" t="s">
        <v>71</v>
      </c>
      <c r="F163" s="51" t="s">
        <v>71</v>
      </c>
      <c r="G163" s="51" t="s">
        <v>71</v>
      </c>
      <c r="H163" s="51" t="s">
        <v>71</v>
      </c>
      <c r="I163" s="51" t="s">
        <v>71</v>
      </c>
      <c r="J163" s="51" t="s">
        <v>71</v>
      </c>
      <c r="K163" s="51" t="s">
        <v>71</v>
      </c>
      <c r="L163" s="51" t="s">
        <v>71</v>
      </c>
      <c r="M163" s="51" t="s">
        <v>71</v>
      </c>
      <c r="N163" s="52" t="s">
        <v>71</v>
      </c>
    </row>
    <row r="164" spans="1:14" ht="21.6" thickBot="1">
      <c r="A164" s="45" t="s">
        <v>71</v>
      </c>
      <c r="B164" s="110" t="s">
        <v>119</v>
      </c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2"/>
      <c r="N164" s="46"/>
    </row>
    <row r="165" spans="1:14" ht="15" thickBot="1">
      <c r="A165" s="45" t="s">
        <v>71</v>
      </c>
      <c r="N165" s="46"/>
    </row>
    <row r="166" spans="1:14" ht="15" thickBot="1">
      <c r="A166" s="45" t="s">
        <v>71</v>
      </c>
      <c r="B166" s="79" t="s">
        <v>0</v>
      </c>
      <c r="C166" s="79" t="s">
        <v>1</v>
      </c>
      <c r="D166" s="79" t="s">
        <v>2</v>
      </c>
      <c r="E166" s="79" t="s">
        <v>3</v>
      </c>
      <c r="F166" s="79" t="s">
        <v>4</v>
      </c>
      <c r="G166" s="79" t="s">
        <v>5</v>
      </c>
      <c r="H166" s="79" t="s">
        <v>6</v>
      </c>
      <c r="I166" s="79" t="s">
        <v>7</v>
      </c>
      <c r="K166" s="68" t="s">
        <v>0</v>
      </c>
      <c r="L166" s="79" t="s">
        <v>1</v>
      </c>
      <c r="M166" s="79" t="s">
        <v>51</v>
      </c>
      <c r="N166" s="46"/>
    </row>
    <row r="167" spans="1:14">
      <c r="A167" s="45" t="s">
        <v>71</v>
      </c>
      <c r="B167" s="61" t="s">
        <v>8</v>
      </c>
      <c r="C167" s="80" t="s">
        <v>115</v>
      </c>
      <c r="D167" s="81"/>
      <c r="E167" s="82"/>
      <c r="F167" s="82"/>
      <c r="G167" s="108">
        <v>2.0833333333333332E-2</v>
      </c>
      <c r="H167" s="84"/>
      <c r="I167" s="85"/>
      <c r="K167" s="61" t="s">
        <v>8</v>
      </c>
      <c r="L167" s="80"/>
      <c r="M167" s="83"/>
      <c r="N167" s="46"/>
    </row>
    <row r="168" spans="1:14">
      <c r="A168" s="45" t="s">
        <v>71</v>
      </c>
      <c r="B168" s="62" t="s">
        <v>9</v>
      </c>
      <c r="C168" s="80" t="s">
        <v>116</v>
      </c>
      <c r="D168" s="86"/>
      <c r="E168" s="87"/>
      <c r="F168" s="87"/>
      <c r="G168" s="108">
        <v>0.125</v>
      </c>
      <c r="H168" s="84"/>
      <c r="I168" s="88"/>
      <c r="K168" s="62" t="s">
        <v>9</v>
      </c>
      <c r="L168" s="80"/>
      <c r="M168" s="83"/>
      <c r="N168" s="46"/>
    </row>
    <row r="169" spans="1:14">
      <c r="A169" s="45" t="s">
        <v>71</v>
      </c>
      <c r="B169" s="62" t="s">
        <v>10</v>
      </c>
      <c r="C169" s="89" t="s">
        <v>117</v>
      </c>
      <c r="D169" s="86"/>
      <c r="E169" s="87"/>
      <c r="F169" s="87"/>
      <c r="G169" s="108">
        <v>4.1666666666666664E-2</v>
      </c>
      <c r="H169" s="84"/>
      <c r="I169" s="88"/>
      <c r="K169" s="62" t="s">
        <v>10</v>
      </c>
      <c r="L169" s="89"/>
      <c r="M169" s="83"/>
      <c r="N169" s="46"/>
    </row>
    <row r="170" spans="1:14">
      <c r="A170" s="45" t="s">
        <v>71</v>
      </c>
      <c r="B170" s="62" t="s">
        <v>11</v>
      </c>
      <c r="C170" s="89" t="s">
        <v>118</v>
      </c>
      <c r="D170" s="86"/>
      <c r="E170" s="87"/>
      <c r="F170" s="87"/>
      <c r="G170" s="108">
        <v>4.1666666666666664E-2</v>
      </c>
      <c r="H170" s="84"/>
      <c r="I170" s="88"/>
      <c r="K170" s="62" t="s">
        <v>11</v>
      </c>
      <c r="L170" s="89"/>
      <c r="M170" s="83"/>
      <c r="N170" s="46"/>
    </row>
    <row r="171" spans="1:14">
      <c r="A171" s="45" t="s">
        <v>71</v>
      </c>
      <c r="B171" s="62" t="s">
        <v>12</v>
      </c>
      <c r="C171" s="89" t="s">
        <v>103</v>
      </c>
      <c r="D171" s="86"/>
      <c r="E171" s="87"/>
      <c r="F171" s="87"/>
      <c r="G171" s="108">
        <v>5.9027777777777776E-2</v>
      </c>
      <c r="H171" s="84"/>
      <c r="I171" s="88"/>
      <c r="K171" s="62" t="s">
        <v>12</v>
      </c>
      <c r="L171" s="89"/>
      <c r="M171" s="83"/>
      <c r="N171" s="46"/>
    </row>
    <row r="172" spans="1:14">
      <c r="A172" s="45" t="s">
        <v>71</v>
      </c>
      <c r="B172" s="62" t="s">
        <v>13</v>
      </c>
      <c r="C172" s="80" t="s">
        <v>104</v>
      </c>
      <c r="D172" s="86"/>
      <c r="E172" s="87"/>
      <c r="F172" s="87"/>
      <c r="G172" s="108">
        <v>5.9027777777777776E-2</v>
      </c>
      <c r="H172" s="84"/>
      <c r="I172" s="88"/>
      <c r="K172" s="62" t="s">
        <v>13</v>
      </c>
      <c r="L172" s="80"/>
      <c r="M172" s="83"/>
      <c r="N172" s="46"/>
    </row>
    <row r="173" spans="1:14">
      <c r="A173" s="45" t="s">
        <v>71</v>
      </c>
      <c r="B173" s="62" t="s">
        <v>14</v>
      </c>
      <c r="C173" s="89"/>
      <c r="D173" s="86"/>
      <c r="E173" s="87"/>
      <c r="F173" s="87"/>
      <c r="G173" s="83">
        <v>0</v>
      </c>
      <c r="H173" s="84"/>
      <c r="I173" s="88"/>
      <c r="K173" s="62" t="s">
        <v>14</v>
      </c>
      <c r="L173" s="89"/>
      <c r="M173" s="83"/>
      <c r="N173" s="46"/>
    </row>
    <row r="174" spans="1:14">
      <c r="A174" s="45" t="s">
        <v>71</v>
      </c>
      <c r="B174" s="62" t="s">
        <v>15</v>
      </c>
      <c r="C174" s="89"/>
      <c r="D174" s="86"/>
      <c r="E174" s="87"/>
      <c r="F174" s="87"/>
      <c r="G174" s="83">
        <v>0</v>
      </c>
      <c r="H174" s="84"/>
      <c r="I174" s="88"/>
      <c r="K174" s="62" t="s">
        <v>15</v>
      </c>
      <c r="L174" s="89"/>
      <c r="M174" s="105"/>
      <c r="N174" s="46"/>
    </row>
    <row r="175" spans="1:14">
      <c r="A175" s="45" t="s">
        <v>71</v>
      </c>
      <c r="B175" s="62" t="s">
        <v>16</v>
      </c>
      <c r="C175" s="89"/>
      <c r="D175" s="86"/>
      <c r="E175" s="87"/>
      <c r="F175" s="87"/>
      <c r="G175" s="83">
        <v>0</v>
      </c>
      <c r="H175" s="84"/>
      <c r="I175" s="88"/>
      <c r="K175" s="62" t="s">
        <v>16</v>
      </c>
      <c r="L175" s="89"/>
      <c r="M175" s="105"/>
      <c r="N175" s="46"/>
    </row>
    <row r="176" spans="1:14">
      <c r="A176" s="45" t="s">
        <v>71</v>
      </c>
      <c r="B176" s="62" t="s">
        <v>17</v>
      </c>
      <c r="C176" s="89"/>
      <c r="D176" s="86"/>
      <c r="E176" s="87"/>
      <c r="F176" s="87"/>
      <c r="G176" s="83">
        <v>0</v>
      </c>
      <c r="H176" s="84"/>
      <c r="I176" s="90"/>
      <c r="K176" s="62" t="s">
        <v>17</v>
      </c>
      <c r="L176" s="89"/>
      <c r="M176" s="105"/>
      <c r="N176" s="46"/>
    </row>
    <row r="177" spans="1:14">
      <c r="A177" s="45" t="s">
        <v>71</v>
      </c>
      <c r="B177" s="62" t="s">
        <v>18</v>
      </c>
      <c r="C177" s="89"/>
      <c r="D177" s="86"/>
      <c r="E177" s="91"/>
      <c r="F177" s="91"/>
      <c r="G177" s="83">
        <v>0</v>
      </c>
      <c r="H177" s="84"/>
      <c r="I177" s="90"/>
      <c r="K177" s="62" t="s">
        <v>18</v>
      </c>
      <c r="L177" s="89"/>
      <c r="M177" s="105"/>
      <c r="N177" s="46"/>
    </row>
    <row r="178" spans="1:14">
      <c r="A178" s="45" t="s">
        <v>71</v>
      </c>
      <c r="B178" s="62" t="s">
        <v>19</v>
      </c>
      <c r="C178" s="89"/>
      <c r="D178" s="86"/>
      <c r="E178" s="91"/>
      <c r="F178" s="91"/>
      <c r="G178" s="83">
        <v>0</v>
      </c>
      <c r="H178" s="84"/>
      <c r="I178" s="90"/>
      <c r="K178" s="62" t="s">
        <v>19</v>
      </c>
      <c r="L178" s="89"/>
      <c r="M178" s="105"/>
      <c r="N178" s="46"/>
    </row>
    <row r="179" spans="1:14">
      <c r="A179" s="45" t="s">
        <v>71</v>
      </c>
      <c r="B179" s="62" t="s">
        <v>20</v>
      </c>
      <c r="C179" s="89"/>
      <c r="D179" s="86"/>
      <c r="E179" s="91"/>
      <c r="F179" s="91"/>
      <c r="G179" s="83">
        <v>0</v>
      </c>
      <c r="H179" s="84"/>
      <c r="I179" s="90"/>
      <c r="K179" s="62" t="s">
        <v>20</v>
      </c>
      <c r="L179" s="89"/>
      <c r="M179" s="105"/>
      <c r="N179" s="46"/>
    </row>
    <row r="180" spans="1:14">
      <c r="A180" s="45" t="s">
        <v>71</v>
      </c>
      <c r="B180" s="62" t="s">
        <v>21</v>
      </c>
      <c r="C180" s="89"/>
      <c r="D180" s="86"/>
      <c r="E180" s="91"/>
      <c r="F180" s="91"/>
      <c r="G180" s="83">
        <v>0</v>
      </c>
      <c r="H180" s="84"/>
      <c r="I180" s="90"/>
      <c r="K180" s="62" t="s">
        <v>21</v>
      </c>
      <c r="L180" s="89"/>
      <c r="M180" s="105"/>
      <c r="N180" s="46"/>
    </row>
    <row r="181" spans="1:14" ht="15" thickBot="1">
      <c r="A181" s="45" t="s">
        <v>71</v>
      </c>
      <c r="B181" s="62" t="s">
        <v>22</v>
      </c>
      <c r="C181" s="89"/>
      <c r="D181" s="86"/>
      <c r="E181" s="91"/>
      <c r="F181" s="91"/>
      <c r="G181" s="83">
        <v>0</v>
      </c>
      <c r="H181" s="84"/>
      <c r="I181" s="90"/>
      <c r="K181" s="70" t="s">
        <v>22</v>
      </c>
      <c r="L181" s="106"/>
      <c r="M181" s="107"/>
      <c r="N181" s="46"/>
    </row>
    <row r="182" spans="1:14">
      <c r="A182" s="45" t="s">
        <v>71</v>
      </c>
      <c r="B182" s="62" t="s">
        <v>23</v>
      </c>
      <c r="C182" s="89"/>
      <c r="D182" s="86"/>
      <c r="E182" s="91"/>
      <c r="F182" s="91"/>
      <c r="G182" s="83">
        <v>0</v>
      </c>
      <c r="H182" s="84"/>
      <c r="I182" s="90"/>
      <c r="K182" s="102" t="s">
        <v>23</v>
      </c>
      <c r="L182" s="103"/>
      <c r="M182" s="104"/>
      <c r="N182" s="46"/>
    </row>
    <row r="183" spans="1:14">
      <c r="A183" s="45" t="s">
        <v>71</v>
      </c>
      <c r="B183" s="62" t="s">
        <v>24</v>
      </c>
      <c r="C183" s="92"/>
      <c r="D183" s="90"/>
      <c r="E183" s="91"/>
      <c r="F183" s="91"/>
      <c r="G183" s="83">
        <v>0</v>
      </c>
      <c r="H183" s="84"/>
      <c r="I183" s="90"/>
      <c r="K183" s="62" t="s">
        <v>24</v>
      </c>
      <c r="L183" s="73"/>
      <c r="M183" s="77"/>
      <c r="N183" s="46"/>
    </row>
    <row r="184" spans="1:14">
      <c r="A184" s="45" t="s">
        <v>71</v>
      </c>
      <c r="B184" s="62" t="s">
        <v>25</v>
      </c>
      <c r="C184" s="92"/>
      <c r="D184" s="90"/>
      <c r="E184" s="91"/>
      <c r="F184" s="91"/>
      <c r="G184" s="83">
        <v>0</v>
      </c>
      <c r="H184" s="84"/>
      <c r="I184" s="90"/>
      <c r="K184" s="62" t="s">
        <v>25</v>
      </c>
      <c r="L184" s="73"/>
      <c r="M184" s="77"/>
      <c r="N184" s="46"/>
    </row>
    <row r="185" spans="1:14" ht="15" thickBot="1">
      <c r="A185" s="45" t="s">
        <v>71</v>
      </c>
      <c r="B185" s="62" t="s">
        <v>26</v>
      </c>
      <c r="C185" s="92"/>
      <c r="D185" s="90"/>
      <c r="E185" s="91"/>
      <c r="F185" s="91"/>
      <c r="G185" s="83">
        <v>0</v>
      </c>
      <c r="H185" s="84"/>
      <c r="I185" s="90"/>
      <c r="K185" s="70" t="s">
        <v>26</v>
      </c>
      <c r="L185" s="74"/>
      <c r="M185" s="78"/>
      <c r="N185" s="46"/>
    </row>
    <row r="186" spans="1:14" ht="15" thickBot="1">
      <c r="A186" s="45" t="s">
        <v>71</v>
      </c>
      <c r="B186" s="93" t="s">
        <v>27</v>
      </c>
      <c r="C186" s="94"/>
      <c r="D186" s="94"/>
      <c r="E186" s="95"/>
      <c r="F186" s="95"/>
      <c r="G186" s="83">
        <v>0</v>
      </c>
      <c r="H186" s="84"/>
      <c r="I186" s="94"/>
      <c r="N186" s="46"/>
    </row>
    <row r="187" spans="1:14" ht="15" thickBot="1">
      <c r="A187" s="45" t="s">
        <v>71</v>
      </c>
      <c r="B187" s="96"/>
      <c r="C187" s="97"/>
      <c r="D187" s="98"/>
      <c r="E187" s="97"/>
      <c r="F187" s="99" t="s">
        <v>5</v>
      </c>
      <c r="G187" s="100">
        <f>SUM(G167:G186)</f>
        <v>0.34722222222222221</v>
      </c>
      <c r="H187" s="101"/>
      <c r="I187" s="98"/>
      <c r="M187" s="67"/>
      <c r="N187" s="46"/>
    </row>
    <row r="188" spans="1:14" ht="15" thickBot="1">
      <c r="A188" s="47" t="s">
        <v>71</v>
      </c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9"/>
    </row>
    <row r="189" spans="1:14" ht="15" thickBot="1"/>
    <row r="190" spans="1:14" ht="15" thickBot="1">
      <c r="A190" s="50" t="s">
        <v>71</v>
      </c>
      <c r="B190" s="51" t="s">
        <v>71</v>
      </c>
      <c r="C190" s="51" t="s">
        <v>71</v>
      </c>
      <c r="D190" s="51" t="s">
        <v>71</v>
      </c>
      <c r="E190" s="51" t="s">
        <v>71</v>
      </c>
      <c r="F190" s="51" t="s">
        <v>71</v>
      </c>
      <c r="G190" s="51" t="s">
        <v>71</v>
      </c>
      <c r="H190" s="51" t="s">
        <v>71</v>
      </c>
      <c r="I190" s="51" t="s">
        <v>71</v>
      </c>
      <c r="J190" s="51" t="s">
        <v>71</v>
      </c>
      <c r="K190" s="51" t="s">
        <v>71</v>
      </c>
      <c r="L190" s="51" t="s">
        <v>71</v>
      </c>
      <c r="M190" s="51" t="s">
        <v>71</v>
      </c>
      <c r="N190" s="52" t="s">
        <v>71</v>
      </c>
    </row>
    <row r="191" spans="1:14" ht="21.6" thickBot="1">
      <c r="A191" s="45" t="s">
        <v>71</v>
      </c>
      <c r="B191" s="110" t="s">
        <v>120</v>
      </c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2"/>
      <c r="N191" s="46"/>
    </row>
    <row r="192" spans="1:14" ht="15" thickBot="1">
      <c r="A192" s="45" t="s">
        <v>71</v>
      </c>
      <c r="N192" s="46"/>
    </row>
    <row r="193" spans="1:14" ht="15" thickBot="1">
      <c r="A193" s="45" t="s">
        <v>71</v>
      </c>
      <c r="B193" s="79" t="s">
        <v>0</v>
      </c>
      <c r="C193" s="79" t="s">
        <v>1</v>
      </c>
      <c r="D193" s="79" t="s">
        <v>2</v>
      </c>
      <c r="E193" s="79" t="s">
        <v>3</v>
      </c>
      <c r="F193" s="79" t="s">
        <v>4</v>
      </c>
      <c r="G193" s="79" t="s">
        <v>5</v>
      </c>
      <c r="H193" s="79" t="s">
        <v>6</v>
      </c>
      <c r="I193" s="79" t="s">
        <v>7</v>
      </c>
      <c r="K193" s="68" t="s">
        <v>0</v>
      </c>
      <c r="L193" s="79" t="s">
        <v>1</v>
      </c>
      <c r="M193" s="79" t="s">
        <v>51</v>
      </c>
      <c r="N193" s="46"/>
    </row>
    <row r="194" spans="1:14">
      <c r="A194" s="45" t="s">
        <v>71</v>
      </c>
      <c r="B194" s="61" t="s">
        <v>8</v>
      </c>
      <c r="C194" s="80" t="s">
        <v>121</v>
      </c>
      <c r="D194" s="81"/>
      <c r="E194" s="82"/>
      <c r="F194" s="82"/>
      <c r="G194" s="108">
        <v>4.1666666666666664E-2</v>
      </c>
      <c r="H194" s="84"/>
      <c r="I194" s="85"/>
      <c r="K194" s="61" t="s">
        <v>8</v>
      </c>
      <c r="L194" s="80"/>
      <c r="M194" s="83"/>
      <c r="N194" s="46"/>
    </row>
    <row r="195" spans="1:14">
      <c r="A195" s="45" t="s">
        <v>71</v>
      </c>
      <c r="B195" s="62" t="s">
        <v>9</v>
      </c>
      <c r="C195" s="80" t="s">
        <v>122</v>
      </c>
      <c r="D195" s="86"/>
      <c r="E195" s="87"/>
      <c r="F195" s="87"/>
      <c r="G195" s="108">
        <v>3.125E-2</v>
      </c>
      <c r="H195" s="84"/>
      <c r="I195" s="88"/>
      <c r="K195" s="62" t="s">
        <v>9</v>
      </c>
      <c r="L195" s="80"/>
      <c r="M195" s="83"/>
      <c r="N195" s="46"/>
    </row>
    <row r="196" spans="1:14">
      <c r="A196" s="45" t="s">
        <v>71</v>
      </c>
      <c r="B196" s="62" t="s">
        <v>10</v>
      </c>
      <c r="C196" s="89" t="s">
        <v>123</v>
      </c>
      <c r="D196" s="86"/>
      <c r="E196" s="87"/>
      <c r="F196" s="87"/>
      <c r="G196" s="108">
        <v>4.1666666666666664E-2</v>
      </c>
      <c r="H196" s="84"/>
      <c r="I196" s="88"/>
      <c r="K196" s="62" t="s">
        <v>10</v>
      </c>
      <c r="L196" s="89"/>
      <c r="M196" s="83"/>
      <c r="N196" s="46"/>
    </row>
    <row r="197" spans="1:14">
      <c r="A197" s="45" t="s">
        <v>71</v>
      </c>
      <c r="B197" s="62" t="s">
        <v>11</v>
      </c>
      <c r="C197" s="89" t="s">
        <v>124</v>
      </c>
      <c r="D197" s="86"/>
      <c r="E197" s="87"/>
      <c r="F197" s="87"/>
      <c r="G197" s="108">
        <v>8.3333333333333329E-2</v>
      </c>
      <c r="H197" s="84"/>
      <c r="I197" s="88"/>
      <c r="K197" s="62" t="s">
        <v>11</v>
      </c>
      <c r="L197" s="89"/>
      <c r="M197" s="83"/>
      <c r="N197" s="46"/>
    </row>
    <row r="198" spans="1:14">
      <c r="A198" s="45" t="s">
        <v>71</v>
      </c>
      <c r="B198" s="62" t="s">
        <v>12</v>
      </c>
      <c r="C198" s="89" t="s">
        <v>125</v>
      </c>
      <c r="D198" s="86"/>
      <c r="E198" s="87"/>
      <c r="F198" s="87"/>
      <c r="G198" s="108">
        <v>5.9027777777777776E-2</v>
      </c>
      <c r="H198" s="84"/>
      <c r="I198" s="88"/>
      <c r="K198" s="62" t="s">
        <v>12</v>
      </c>
      <c r="L198" s="89"/>
      <c r="M198" s="83"/>
      <c r="N198" s="46"/>
    </row>
    <row r="199" spans="1:14">
      <c r="A199" s="45" t="s">
        <v>71</v>
      </c>
      <c r="B199" s="62" t="s">
        <v>13</v>
      </c>
      <c r="C199" s="80" t="s">
        <v>103</v>
      </c>
      <c r="D199" s="86"/>
      <c r="E199" s="87"/>
      <c r="F199" s="87"/>
      <c r="G199" s="108">
        <v>5.9027777777777776E-2</v>
      </c>
      <c r="H199" s="84"/>
      <c r="I199" s="88"/>
      <c r="K199" s="62" t="s">
        <v>13</v>
      </c>
      <c r="L199" s="80"/>
      <c r="M199" s="83"/>
      <c r="N199" s="46"/>
    </row>
    <row r="200" spans="1:14">
      <c r="A200" s="45" t="s">
        <v>71</v>
      </c>
      <c r="B200" s="62" t="s">
        <v>14</v>
      </c>
      <c r="C200" s="89"/>
      <c r="D200" s="86"/>
      <c r="E200" s="87"/>
      <c r="F200" s="87"/>
      <c r="G200" s="83">
        <v>0</v>
      </c>
      <c r="H200" s="84"/>
      <c r="I200" s="88"/>
      <c r="K200" s="62" t="s">
        <v>14</v>
      </c>
      <c r="L200" s="89"/>
      <c r="M200" s="83"/>
      <c r="N200" s="46"/>
    </row>
    <row r="201" spans="1:14">
      <c r="A201" s="45" t="s">
        <v>71</v>
      </c>
      <c r="B201" s="62" t="s">
        <v>15</v>
      </c>
      <c r="C201" s="89"/>
      <c r="D201" s="86"/>
      <c r="E201" s="87"/>
      <c r="F201" s="87"/>
      <c r="G201" s="83">
        <v>0</v>
      </c>
      <c r="H201" s="84"/>
      <c r="I201" s="88"/>
      <c r="K201" s="62" t="s">
        <v>15</v>
      </c>
      <c r="L201" s="89"/>
      <c r="M201" s="105"/>
      <c r="N201" s="46"/>
    </row>
    <row r="202" spans="1:14">
      <c r="A202" s="45" t="s">
        <v>71</v>
      </c>
      <c r="B202" s="62" t="s">
        <v>16</v>
      </c>
      <c r="C202" s="89"/>
      <c r="D202" s="86"/>
      <c r="E202" s="87"/>
      <c r="F202" s="87"/>
      <c r="G202" s="83">
        <v>0</v>
      </c>
      <c r="H202" s="84"/>
      <c r="I202" s="88"/>
      <c r="K202" s="62" t="s">
        <v>16</v>
      </c>
      <c r="L202" s="89"/>
      <c r="M202" s="105"/>
      <c r="N202" s="46"/>
    </row>
    <row r="203" spans="1:14">
      <c r="A203" s="45" t="s">
        <v>71</v>
      </c>
      <c r="B203" s="62" t="s">
        <v>17</v>
      </c>
      <c r="C203" s="89"/>
      <c r="D203" s="86"/>
      <c r="E203" s="87"/>
      <c r="F203" s="87"/>
      <c r="G203" s="83">
        <v>0</v>
      </c>
      <c r="H203" s="84"/>
      <c r="I203" s="90"/>
      <c r="K203" s="62" t="s">
        <v>17</v>
      </c>
      <c r="L203" s="89"/>
      <c r="M203" s="105"/>
      <c r="N203" s="46"/>
    </row>
    <row r="204" spans="1:14">
      <c r="A204" s="45" t="s">
        <v>71</v>
      </c>
      <c r="B204" s="62" t="s">
        <v>18</v>
      </c>
      <c r="C204" s="89"/>
      <c r="D204" s="86"/>
      <c r="E204" s="91"/>
      <c r="F204" s="91"/>
      <c r="G204" s="83">
        <v>0</v>
      </c>
      <c r="H204" s="84"/>
      <c r="I204" s="90"/>
      <c r="K204" s="62" t="s">
        <v>18</v>
      </c>
      <c r="L204" s="89"/>
      <c r="M204" s="105"/>
      <c r="N204" s="46"/>
    </row>
    <row r="205" spans="1:14">
      <c r="A205" s="45" t="s">
        <v>71</v>
      </c>
      <c r="B205" s="62" t="s">
        <v>19</v>
      </c>
      <c r="C205" s="89"/>
      <c r="D205" s="86"/>
      <c r="E205" s="91"/>
      <c r="F205" s="91"/>
      <c r="G205" s="83">
        <v>0</v>
      </c>
      <c r="H205" s="84"/>
      <c r="I205" s="90"/>
      <c r="K205" s="62" t="s">
        <v>19</v>
      </c>
      <c r="L205" s="89"/>
      <c r="M205" s="105"/>
      <c r="N205" s="46"/>
    </row>
    <row r="206" spans="1:14">
      <c r="A206" s="45" t="s">
        <v>71</v>
      </c>
      <c r="B206" s="62" t="s">
        <v>20</v>
      </c>
      <c r="C206" s="89"/>
      <c r="D206" s="86"/>
      <c r="E206" s="91"/>
      <c r="F206" s="91"/>
      <c r="G206" s="83">
        <v>0</v>
      </c>
      <c r="H206" s="84"/>
      <c r="I206" s="90"/>
      <c r="K206" s="62" t="s">
        <v>20</v>
      </c>
      <c r="L206" s="89"/>
      <c r="M206" s="105"/>
      <c r="N206" s="46"/>
    </row>
    <row r="207" spans="1:14">
      <c r="A207" s="45" t="s">
        <v>71</v>
      </c>
      <c r="B207" s="62" t="s">
        <v>21</v>
      </c>
      <c r="C207" s="89"/>
      <c r="D207" s="86"/>
      <c r="E207" s="91"/>
      <c r="F207" s="91"/>
      <c r="G207" s="83">
        <v>0</v>
      </c>
      <c r="H207" s="84"/>
      <c r="I207" s="90"/>
      <c r="K207" s="62" t="s">
        <v>21</v>
      </c>
      <c r="L207" s="89"/>
      <c r="M207" s="105"/>
      <c r="N207" s="46"/>
    </row>
    <row r="208" spans="1:14" ht="15" thickBot="1">
      <c r="A208" s="45" t="s">
        <v>71</v>
      </c>
      <c r="B208" s="62" t="s">
        <v>22</v>
      </c>
      <c r="C208" s="89"/>
      <c r="D208" s="86"/>
      <c r="E208" s="91"/>
      <c r="F208" s="91"/>
      <c r="G208" s="83">
        <v>0</v>
      </c>
      <c r="H208" s="84"/>
      <c r="I208" s="90"/>
      <c r="K208" s="70" t="s">
        <v>22</v>
      </c>
      <c r="L208" s="106"/>
      <c r="M208" s="107"/>
      <c r="N208" s="46"/>
    </row>
    <row r="209" spans="1:14">
      <c r="A209" s="45" t="s">
        <v>71</v>
      </c>
      <c r="B209" s="62" t="s">
        <v>23</v>
      </c>
      <c r="C209" s="89"/>
      <c r="D209" s="86"/>
      <c r="E209" s="91"/>
      <c r="F209" s="91"/>
      <c r="G209" s="83">
        <v>0</v>
      </c>
      <c r="H209" s="84"/>
      <c r="I209" s="90"/>
      <c r="K209" s="102" t="s">
        <v>23</v>
      </c>
      <c r="L209" s="103"/>
      <c r="M209" s="104"/>
      <c r="N209" s="46"/>
    </row>
    <row r="210" spans="1:14">
      <c r="A210" s="45" t="s">
        <v>71</v>
      </c>
      <c r="B210" s="62" t="s">
        <v>24</v>
      </c>
      <c r="C210" s="92"/>
      <c r="D210" s="90"/>
      <c r="E210" s="91"/>
      <c r="F210" s="91"/>
      <c r="G210" s="83">
        <v>0</v>
      </c>
      <c r="H210" s="84"/>
      <c r="I210" s="90"/>
      <c r="K210" s="62" t="s">
        <v>24</v>
      </c>
      <c r="L210" s="73"/>
      <c r="M210" s="77"/>
      <c r="N210" s="46"/>
    </row>
    <row r="211" spans="1:14">
      <c r="A211" s="45" t="s">
        <v>71</v>
      </c>
      <c r="B211" s="62" t="s">
        <v>25</v>
      </c>
      <c r="C211" s="92"/>
      <c r="D211" s="90"/>
      <c r="E211" s="91"/>
      <c r="F211" s="91"/>
      <c r="G211" s="83">
        <v>0</v>
      </c>
      <c r="H211" s="84"/>
      <c r="I211" s="90"/>
      <c r="K211" s="62" t="s">
        <v>25</v>
      </c>
      <c r="L211" s="73"/>
      <c r="M211" s="77"/>
      <c r="N211" s="46"/>
    </row>
    <row r="212" spans="1:14" ht="15" thickBot="1">
      <c r="A212" s="45" t="s">
        <v>71</v>
      </c>
      <c r="B212" s="62" t="s">
        <v>26</v>
      </c>
      <c r="C212" s="92"/>
      <c r="D212" s="90"/>
      <c r="E212" s="91"/>
      <c r="F212" s="91"/>
      <c r="G212" s="83">
        <v>0</v>
      </c>
      <c r="H212" s="84"/>
      <c r="I212" s="90"/>
      <c r="K212" s="70" t="s">
        <v>26</v>
      </c>
      <c r="L212" s="74"/>
      <c r="M212" s="78"/>
      <c r="N212" s="46"/>
    </row>
    <row r="213" spans="1:14" ht="15" thickBot="1">
      <c r="A213" s="45" t="s">
        <v>71</v>
      </c>
      <c r="B213" s="93" t="s">
        <v>27</v>
      </c>
      <c r="C213" s="94"/>
      <c r="D213" s="94"/>
      <c r="E213" s="95"/>
      <c r="F213" s="95"/>
      <c r="G213" s="83">
        <v>0</v>
      </c>
      <c r="H213" s="84"/>
      <c r="I213" s="94"/>
      <c r="N213" s="46"/>
    </row>
    <row r="214" spans="1:14" ht="15" thickBot="1">
      <c r="A214" s="45" t="s">
        <v>71</v>
      </c>
      <c r="B214" s="96"/>
      <c r="C214" s="97"/>
      <c r="D214" s="98"/>
      <c r="E214" s="97"/>
      <c r="F214" s="99" t="s">
        <v>5</v>
      </c>
      <c r="G214" s="100">
        <f>SUM(G194:G213)</f>
        <v>0.31597222222222221</v>
      </c>
      <c r="H214" s="101"/>
      <c r="I214" s="98"/>
      <c r="M214" s="67"/>
      <c r="N214" s="46"/>
    </row>
    <row r="215" spans="1:14" ht="15" thickBot="1">
      <c r="A215" s="47" t="s">
        <v>71</v>
      </c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9"/>
    </row>
    <row r="216" spans="1:14" ht="15" thickBot="1"/>
    <row r="217" spans="1:14" ht="15" thickBot="1">
      <c r="A217" s="50" t="s">
        <v>71</v>
      </c>
      <c r="B217" s="51" t="s">
        <v>71</v>
      </c>
      <c r="C217" s="51" t="s">
        <v>71</v>
      </c>
      <c r="D217" s="51" t="s">
        <v>71</v>
      </c>
      <c r="E217" s="51" t="s">
        <v>71</v>
      </c>
      <c r="F217" s="51" t="s">
        <v>71</v>
      </c>
      <c r="G217" s="51" t="s">
        <v>71</v>
      </c>
      <c r="H217" s="51" t="s">
        <v>71</v>
      </c>
      <c r="I217" s="51" t="s">
        <v>71</v>
      </c>
      <c r="J217" s="51" t="s">
        <v>71</v>
      </c>
      <c r="K217" s="51" t="s">
        <v>71</v>
      </c>
      <c r="L217" s="51" t="s">
        <v>71</v>
      </c>
      <c r="M217" s="51" t="s">
        <v>71</v>
      </c>
      <c r="N217" s="52" t="s">
        <v>71</v>
      </c>
    </row>
    <row r="218" spans="1:14" ht="21.6" thickBot="1">
      <c r="A218" s="45" t="s">
        <v>71</v>
      </c>
      <c r="B218" s="110" t="s">
        <v>126</v>
      </c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2"/>
      <c r="N218" s="46"/>
    </row>
    <row r="219" spans="1:14" ht="15" thickBot="1">
      <c r="A219" s="45" t="s">
        <v>71</v>
      </c>
      <c r="N219" s="46"/>
    </row>
    <row r="220" spans="1:14" ht="15" thickBot="1">
      <c r="A220" s="45" t="s">
        <v>71</v>
      </c>
      <c r="B220" s="79" t="s">
        <v>0</v>
      </c>
      <c r="C220" s="79" t="s">
        <v>1</v>
      </c>
      <c r="D220" s="79" t="s">
        <v>2</v>
      </c>
      <c r="E220" s="79" t="s">
        <v>3</v>
      </c>
      <c r="F220" s="79" t="s">
        <v>4</v>
      </c>
      <c r="G220" s="79" t="s">
        <v>5</v>
      </c>
      <c r="H220" s="79" t="s">
        <v>6</v>
      </c>
      <c r="I220" s="79" t="s">
        <v>7</v>
      </c>
      <c r="K220" s="68" t="s">
        <v>0</v>
      </c>
      <c r="L220" s="79" t="s">
        <v>1</v>
      </c>
      <c r="M220" s="79" t="s">
        <v>51</v>
      </c>
      <c r="N220" s="46"/>
    </row>
    <row r="221" spans="1:14">
      <c r="A221" s="45" t="s">
        <v>71</v>
      </c>
      <c r="B221" s="61" t="s">
        <v>8</v>
      </c>
      <c r="C221" s="80" t="s">
        <v>127</v>
      </c>
      <c r="D221" s="81"/>
      <c r="E221" s="82"/>
      <c r="F221" s="82"/>
      <c r="G221" s="109">
        <v>6.25E-2</v>
      </c>
      <c r="H221" s="84"/>
      <c r="I221" s="85"/>
      <c r="K221" s="61" t="s">
        <v>8</v>
      </c>
      <c r="L221" s="80"/>
      <c r="M221" s="83"/>
      <c r="N221" s="46"/>
    </row>
    <row r="222" spans="1:14">
      <c r="A222" s="45" t="s">
        <v>71</v>
      </c>
      <c r="B222" s="62" t="s">
        <v>9</v>
      </c>
      <c r="C222" s="80" t="s">
        <v>128</v>
      </c>
      <c r="D222" s="86"/>
      <c r="E222" s="87"/>
      <c r="F222" s="87"/>
      <c r="G222" s="109">
        <v>3.125E-2</v>
      </c>
      <c r="H222" s="84"/>
      <c r="I222" s="88"/>
      <c r="K222" s="62" t="s">
        <v>9</v>
      </c>
      <c r="L222" s="80"/>
      <c r="M222" s="83"/>
      <c r="N222" s="46"/>
    </row>
    <row r="223" spans="1:14">
      <c r="A223" s="45" t="s">
        <v>71</v>
      </c>
      <c r="B223" s="62" t="s">
        <v>10</v>
      </c>
      <c r="C223" s="89" t="s">
        <v>129</v>
      </c>
      <c r="D223" s="86"/>
      <c r="E223" s="87"/>
      <c r="F223" s="87"/>
      <c r="G223" s="109">
        <v>4.1666666666666664E-2</v>
      </c>
      <c r="H223" s="84"/>
      <c r="I223" s="88"/>
      <c r="K223" s="62" t="s">
        <v>10</v>
      </c>
      <c r="L223" s="89"/>
      <c r="M223" s="83"/>
      <c r="N223" s="46"/>
    </row>
    <row r="224" spans="1:14">
      <c r="A224" s="45" t="s">
        <v>71</v>
      </c>
      <c r="B224" s="62" t="s">
        <v>11</v>
      </c>
      <c r="C224" s="89" t="s">
        <v>130</v>
      </c>
      <c r="D224" s="86"/>
      <c r="E224" s="87"/>
      <c r="F224" s="87"/>
      <c r="G224" s="109">
        <v>8.3333333333333329E-2</v>
      </c>
      <c r="H224" s="84"/>
      <c r="I224" s="88"/>
      <c r="K224" s="62" t="s">
        <v>11</v>
      </c>
      <c r="L224" s="89"/>
      <c r="M224" s="83"/>
      <c r="N224" s="46"/>
    </row>
    <row r="225" spans="1:14">
      <c r="A225" s="45" t="s">
        <v>71</v>
      </c>
      <c r="B225" s="62" t="s">
        <v>12</v>
      </c>
      <c r="C225" s="89" t="s">
        <v>131</v>
      </c>
      <c r="D225" s="86"/>
      <c r="E225" s="87"/>
      <c r="F225" s="87"/>
      <c r="G225" s="109">
        <v>5.9027777777777776E-2</v>
      </c>
      <c r="H225" s="84"/>
      <c r="I225" s="88"/>
      <c r="K225" s="62" t="s">
        <v>12</v>
      </c>
      <c r="L225" s="89"/>
      <c r="M225" s="83"/>
      <c r="N225" s="46"/>
    </row>
    <row r="226" spans="1:14">
      <c r="A226" s="45" t="s">
        <v>71</v>
      </c>
      <c r="B226" s="62" t="s">
        <v>13</v>
      </c>
      <c r="C226" s="80" t="s">
        <v>103</v>
      </c>
      <c r="D226" s="86"/>
      <c r="E226" s="87"/>
      <c r="F226" s="87"/>
      <c r="G226" s="109">
        <v>5.9027777777777776E-2</v>
      </c>
      <c r="H226" s="84"/>
      <c r="I226" s="88"/>
      <c r="K226" s="62" t="s">
        <v>13</v>
      </c>
      <c r="L226" s="80"/>
      <c r="M226" s="83"/>
      <c r="N226" s="46"/>
    </row>
    <row r="227" spans="1:14">
      <c r="A227" s="45" t="s">
        <v>71</v>
      </c>
      <c r="B227" s="62" t="s">
        <v>14</v>
      </c>
      <c r="C227" s="89"/>
      <c r="D227" s="86"/>
      <c r="E227" s="87"/>
      <c r="F227" s="87"/>
      <c r="G227" s="83">
        <v>0</v>
      </c>
      <c r="H227" s="84"/>
      <c r="I227" s="88"/>
      <c r="K227" s="62" t="s">
        <v>14</v>
      </c>
      <c r="L227" s="89"/>
      <c r="M227" s="83"/>
      <c r="N227" s="46"/>
    </row>
    <row r="228" spans="1:14">
      <c r="A228" s="45" t="s">
        <v>71</v>
      </c>
      <c r="B228" s="62" t="s">
        <v>15</v>
      </c>
      <c r="C228" s="89"/>
      <c r="D228" s="86"/>
      <c r="E228" s="87"/>
      <c r="F228" s="87"/>
      <c r="G228" s="83">
        <v>0</v>
      </c>
      <c r="H228" s="84"/>
      <c r="I228" s="88"/>
      <c r="K228" s="62" t="s">
        <v>15</v>
      </c>
      <c r="L228" s="89"/>
      <c r="M228" s="105"/>
      <c r="N228" s="46"/>
    </row>
    <row r="229" spans="1:14">
      <c r="A229" s="45" t="s">
        <v>71</v>
      </c>
      <c r="B229" s="62" t="s">
        <v>16</v>
      </c>
      <c r="C229" s="89"/>
      <c r="D229" s="86"/>
      <c r="E229" s="87"/>
      <c r="F229" s="87"/>
      <c r="G229" s="83">
        <v>0</v>
      </c>
      <c r="H229" s="84"/>
      <c r="I229" s="88"/>
      <c r="K229" s="62" t="s">
        <v>16</v>
      </c>
      <c r="L229" s="89"/>
      <c r="M229" s="105"/>
      <c r="N229" s="46"/>
    </row>
    <row r="230" spans="1:14">
      <c r="A230" s="45" t="s">
        <v>71</v>
      </c>
      <c r="B230" s="62" t="s">
        <v>17</v>
      </c>
      <c r="C230" s="89"/>
      <c r="D230" s="86"/>
      <c r="E230" s="87"/>
      <c r="F230" s="87"/>
      <c r="G230" s="83">
        <v>0</v>
      </c>
      <c r="H230" s="84"/>
      <c r="I230" s="90"/>
      <c r="K230" s="62" t="s">
        <v>17</v>
      </c>
      <c r="L230" s="89"/>
      <c r="M230" s="105"/>
      <c r="N230" s="46"/>
    </row>
    <row r="231" spans="1:14">
      <c r="A231" s="45" t="s">
        <v>71</v>
      </c>
      <c r="B231" s="62" t="s">
        <v>18</v>
      </c>
      <c r="C231" s="89"/>
      <c r="D231" s="86"/>
      <c r="E231" s="91"/>
      <c r="F231" s="91"/>
      <c r="G231" s="83">
        <v>0</v>
      </c>
      <c r="H231" s="84"/>
      <c r="I231" s="90"/>
      <c r="K231" s="62" t="s">
        <v>18</v>
      </c>
      <c r="L231" s="89"/>
      <c r="M231" s="105"/>
      <c r="N231" s="46"/>
    </row>
    <row r="232" spans="1:14">
      <c r="A232" s="45" t="s">
        <v>71</v>
      </c>
      <c r="B232" s="62" t="s">
        <v>19</v>
      </c>
      <c r="C232" s="89"/>
      <c r="D232" s="86"/>
      <c r="E232" s="91"/>
      <c r="F232" s="91"/>
      <c r="G232" s="83">
        <v>0</v>
      </c>
      <c r="H232" s="84"/>
      <c r="I232" s="90"/>
      <c r="K232" s="62" t="s">
        <v>19</v>
      </c>
      <c r="L232" s="89"/>
      <c r="M232" s="105"/>
      <c r="N232" s="46"/>
    </row>
    <row r="233" spans="1:14">
      <c r="A233" s="45" t="s">
        <v>71</v>
      </c>
      <c r="B233" s="62" t="s">
        <v>20</v>
      </c>
      <c r="C233" s="89"/>
      <c r="D233" s="86"/>
      <c r="E233" s="91"/>
      <c r="F233" s="91"/>
      <c r="G233" s="83">
        <v>0</v>
      </c>
      <c r="H233" s="84"/>
      <c r="I233" s="90"/>
      <c r="K233" s="62" t="s">
        <v>20</v>
      </c>
      <c r="L233" s="89"/>
      <c r="M233" s="105"/>
      <c r="N233" s="46"/>
    </row>
    <row r="234" spans="1:14">
      <c r="A234" s="45" t="s">
        <v>71</v>
      </c>
      <c r="B234" s="62" t="s">
        <v>21</v>
      </c>
      <c r="C234" s="89"/>
      <c r="D234" s="86"/>
      <c r="E234" s="91"/>
      <c r="F234" s="91"/>
      <c r="G234" s="83">
        <v>0</v>
      </c>
      <c r="H234" s="84"/>
      <c r="I234" s="90"/>
      <c r="K234" s="62" t="s">
        <v>21</v>
      </c>
      <c r="L234" s="89"/>
      <c r="M234" s="105"/>
      <c r="N234" s="46"/>
    </row>
    <row r="235" spans="1:14" ht="15" thickBot="1">
      <c r="A235" s="45" t="s">
        <v>71</v>
      </c>
      <c r="B235" s="62" t="s">
        <v>22</v>
      </c>
      <c r="C235" s="89"/>
      <c r="D235" s="86"/>
      <c r="E235" s="91"/>
      <c r="F235" s="91"/>
      <c r="G235" s="83">
        <v>0</v>
      </c>
      <c r="H235" s="84"/>
      <c r="I235" s="90"/>
      <c r="K235" s="70" t="s">
        <v>22</v>
      </c>
      <c r="L235" s="106"/>
      <c r="M235" s="107"/>
      <c r="N235" s="46"/>
    </row>
    <row r="236" spans="1:14">
      <c r="A236" s="45" t="s">
        <v>71</v>
      </c>
      <c r="B236" s="62" t="s">
        <v>23</v>
      </c>
      <c r="C236" s="89"/>
      <c r="D236" s="86"/>
      <c r="E236" s="91"/>
      <c r="F236" s="91"/>
      <c r="G236" s="83">
        <v>0</v>
      </c>
      <c r="H236" s="84"/>
      <c r="I236" s="90"/>
      <c r="K236" s="102" t="s">
        <v>23</v>
      </c>
      <c r="L236" s="103"/>
      <c r="M236" s="104"/>
      <c r="N236" s="46"/>
    </row>
    <row r="237" spans="1:14">
      <c r="A237" s="45" t="s">
        <v>71</v>
      </c>
      <c r="B237" s="62" t="s">
        <v>24</v>
      </c>
      <c r="C237" s="92"/>
      <c r="D237" s="90"/>
      <c r="E237" s="91"/>
      <c r="F237" s="91"/>
      <c r="G237" s="83">
        <v>0</v>
      </c>
      <c r="H237" s="84"/>
      <c r="I237" s="90"/>
      <c r="K237" s="62" t="s">
        <v>24</v>
      </c>
      <c r="L237" s="73"/>
      <c r="M237" s="77"/>
      <c r="N237" s="46"/>
    </row>
    <row r="238" spans="1:14">
      <c r="A238" s="45" t="s">
        <v>71</v>
      </c>
      <c r="B238" s="62" t="s">
        <v>25</v>
      </c>
      <c r="C238" s="92"/>
      <c r="D238" s="90"/>
      <c r="E238" s="91"/>
      <c r="F238" s="91"/>
      <c r="G238" s="83">
        <v>0</v>
      </c>
      <c r="H238" s="84"/>
      <c r="I238" s="90"/>
      <c r="K238" s="62" t="s">
        <v>25</v>
      </c>
      <c r="L238" s="73"/>
      <c r="M238" s="77"/>
      <c r="N238" s="46"/>
    </row>
    <row r="239" spans="1:14" ht="15" thickBot="1">
      <c r="A239" s="45" t="s">
        <v>71</v>
      </c>
      <c r="B239" s="62" t="s">
        <v>26</v>
      </c>
      <c r="C239" s="92"/>
      <c r="D239" s="90"/>
      <c r="E239" s="91"/>
      <c r="F239" s="91"/>
      <c r="G239" s="83">
        <v>0</v>
      </c>
      <c r="H239" s="84"/>
      <c r="I239" s="90"/>
      <c r="K239" s="70" t="s">
        <v>26</v>
      </c>
      <c r="L239" s="74"/>
      <c r="M239" s="78"/>
      <c r="N239" s="46"/>
    </row>
    <row r="240" spans="1:14" ht="15" thickBot="1">
      <c r="A240" s="45" t="s">
        <v>71</v>
      </c>
      <c r="B240" s="93" t="s">
        <v>27</v>
      </c>
      <c r="C240" s="94"/>
      <c r="D240" s="94"/>
      <c r="E240" s="95"/>
      <c r="F240" s="95"/>
      <c r="G240" s="83">
        <v>0</v>
      </c>
      <c r="H240" s="84"/>
      <c r="I240" s="94"/>
      <c r="N240" s="46"/>
    </row>
    <row r="241" spans="1:14" ht="15" thickBot="1">
      <c r="A241" s="45" t="s">
        <v>71</v>
      </c>
      <c r="B241" s="96"/>
      <c r="C241" s="97"/>
      <c r="D241" s="98"/>
      <c r="E241" s="97"/>
      <c r="F241" s="99" t="s">
        <v>5</v>
      </c>
      <c r="G241" s="100">
        <f>SUM(G221:G240)</f>
        <v>0.33680555555555558</v>
      </c>
      <c r="H241" s="101"/>
      <c r="I241" s="98"/>
      <c r="M241" s="67"/>
      <c r="N241" s="46"/>
    </row>
    <row r="242" spans="1:14" ht="15" thickBot="1">
      <c r="A242" s="47" t="s">
        <v>71</v>
      </c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9"/>
    </row>
    <row r="243" spans="1:14" ht="15" thickBot="1"/>
    <row r="244" spans="1:14" ht="15" thickBot="1">
      <c r="A244" s="50" t="s">
        <v>71</v>
      </c>
      <c r="B244" s="51" t="s">
        <v>71</v>
      </c>
      <c r="C244" s="51" t="s">
        <v>71</v>
      </c>
      <c r="D244" s="51" t="s">
        <v>71</v>
      </c>
      <c r="E244" s="51" t="s">
        <v>71</v>
      </c>
      <c r="F244" s="51" t="s">
        <v>71</v>
      </c>
      <c r="G244" s="51" t="s">
        <v>71</v>
      </c>
      <c r="H244" s="51" t="s">
        <v>71</v>
      </c>
      <c r="I244" s="51" t="s">
        <v>71</v>
      </c>
      <c r="J244" s="51" t="s">
        <v>71</v>
      </c>
      <c r="K244" s="51" t="s">
        <v>71</v>
      </c>
      <c r="L244" s="51" t="s">
        <v>71</v>
      </c>
      <c r="M244" s="51" t="s">
        <v>71</v>
      </c>
      <c r="N244" s="52" t="s">
        <v>71</v>
      </c>
    </row>
    <row r="245" spans="1:14" ht="21.6" thickBot="1">
      <c r="A245" s="45" t="s">
        <v>71</v>
      </c>
      <c r="B245" s="110" t="s">
        <v>132</v>
      </c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2"/>
      <c r="N245" s="46"/>
    </row>
    <row r="246" spans="1:14" ht="15" thickBot="1">
      <c r="A246" s="45" t="s">
        <v>71</v>
      </c>
      <c r="N246" s="46"/>
    </row>
    <row r="247" spans="1:14" ht="15" thickBot="1">
      <c r="A247" s="45" t="s">
        <v>71</v>
      </c>
      <c r="B247" s="79" t="s">
        <v>0</v>
      </c>
      <c r="C247" s="79" t="s">
        <v>1</v>
      </c>
      <c r="D247" s="79" t="s">
        <v>2</v>
      </c>
      <c r="E247" s="79" t="s">
        <v>3</v>
      </c>
      <c r="F247" s="79" t="s">
        <v>4</v>
      </c>
      <c r="G247" s="79" t="s">
        <v>5</v>
      </c>
      <c r="H247" s="79" t="s">
        <v>6</v>
      </c>
      <c r="I247" s="79" t="s">
        <v>7</v>
      </c>
      <c r="K247" s="68" t="s">
        <v>0</v>
      </c>
      <c r="L247" s="79" t="s">
        <v>1</v>
      </c>
      <c r="M247" s="79" t="s">
        <v>51</v>
      </c>
      <c r="N247" s="46"/>
    </row>
    <row r="248" spans="1:14">
      <c r="A248" s="45" t="s">
        <v>71</v>
      </c>
      <c r="B248" s="61" t="s">
        <v>8</v>
      </c>
      <c r="C248" s="80" t="s">
        <v>133</v>
      </c>
      <c r="D248" s="81"/>
      <c r="E248" s="82"/>
      <c r="F248" s="82"/>
      <c r="G248" s="83">
        <v>2.0833333333333332E-2</v>
      </c>
      <c r="H248" s="84"/>
      <c r="I248" s="85"/>
      <c r="K248" s="61" t="s">
        <v>8</v>
      </c>
      <c r="L248" s="80" t="s">
        <v>133</v>
      </c>
      <c r="M248" s="83">
        <v>2.0833333333333332E-2</v>
      </c>
      <c r="N248" s="46"/>
    </row>
    <row r="249" spans="1:14">
      <c r="A249" s="45" t="s">
        <v>71</v>
      </c>
      <c r="B249" s="62" t="s">
        <v>9</v>
      </c>
      <c r="C249" s="80" t="s">
        <v>134</v>
      </c>
      <c r="D249" s="86"/>
      <c r="E249" s="87"/>
      <c r="F249" s="87"/>
      <c r="G249" s="83">
        <v>1.3888888888888888E-2</v>
      </c>
      <c r="H249" s="84"/>
      <c r="I249" s="88"/>
      <c r="K249" s="62" t="s">
        <v>9</v>
      </c>
      <c r="L249" s="80" t="s">
        <v>134</v>
      </c>
      <c r="M249" s="83">
        <v>1.3888888888888888E-2</v>
      </c>
      <c r="N249" s="46"/>
    </row>
    <row r="250" spans="1:14">
      <c r="A250" s="45" t="s">
        <v>71</v>
      </c>
      <c r="B250" s="62" t="s">
        <v>10</v>
      </c>
      <c r="C250" s="89" t="s">
        <v>135</v>
      </c>
      <c r="D250" s="86"/>
      <c r="E250" s="87"/>
      <c r="F250" s="87"/>
      <c r="G250" s="83">
        <v>4.1666666666666664E-2</v>
      </c>
      <c r="H250" s="84"/>
      <c r="I250" s="88"/>
      <c r="K250" s="62" t="s">
        <v>10</v>
      </c>
      <c r="L250" s="89" t="s">
        <v>135</v>
      </c>
      <c r="M250" s="83">
        <v>4.1666666666666664E-2</v>
      </c>
      <c r="N250" s="46"/>
    </row>
    <row r="251" spans="1:14">
      <c r="A251" s="45" t="s">
        <v>71</v>
      </c>
      <c r="B251" s="62" t="s">
        <v>11</v>
      </c>
      <c r="C251" s="89" t="s">
        <v>136</v>
      </c>
      <c r="D251" s="86"/>
      <c r="E251" s="87"/>
      <c r="F251" s="87"/>
      <c r="G251" s="83">
        <v>3.125E-2</v>
      </c>
      <c r="H251" s="84"/>
      <c r="I251" s="88"/>
      <c r="K251" s="62" t="s">
        <v>11</v>
      </c>
      <c r="L251" s="89" t="s">
        <v>136</v>
      </c>
      <c r="M251" s="83">
        <v>3.125E-2</v>
      </c>
      <c r="N251" s="46"/>
    </row>
    <row r="252" spans="1:14">
      <c r="A252" s="45" t="s">
        <v>71</v>
      </c>
      <c r="B252" s="62" t="s">
        <v>12</v>
      </c>
      <c r="C252" s="89" t="s">
        <v>137</v>
      </c>
      <c r="D252" s="86"/>
      <c r="E252" s="87"/>
      <c r="F252" s="87"/>
      <c r="G252" s="83">
        <v>2.0833333333333332E-2</v>
      </c>
      <c r="H252" s="84"/>
      <c r="I252" s="88"/>
      <c r="K252" s="62" t="s">
        <v>12</v>
      </c>
      <c r="L252" s="89" t="s">
        <v>137</v>
      </c>
      <c r="M252" s="83">
        <v>2.0833333333333332E-2</v>
      </c>
      <c r="N252" s="46"/>
    </row>
    <row r="253" spans="1:14">
      <c r="A253" s="45" t="s">
        <v>71</v>
      </c>
      <c r="B253" s="62" t="s">
        <v>13</v>
      </c>
      <c r="C253" s="80" t="s">
        <v>138</v>
      </c>
      <c r="D253" s="86"/>
      <c r="E253" s="87"/>
      <c r="F253" s="87"/>
      <c r="G253" s="83">
        <v>4.1666666666666664E-2</v>
      </c>
      <c r="H253" s="84"/>
      <c r="I253" s="88"/>
      <c r="K253" s="62" t="s">
        <v>13</v>
      </c>
      <c r="L253" s="80" t="s">
        <v>138</v>
      </c>
      <c r="M253" s="83">
        <v>4.1666666666666664E-2</v>
      </c>
      <c r="N253" s="46"/>
    </row>
    <row r="254" spans="1:14">
      <c r="A254" s="45" t="s">
        <v>71</v>
      </c>
      <c r="B254" s="62" t="s">
        <v>14</v>
      </c>
      <c r="C254" s="89" t="s">
        <v>139</v>
      </c>
      <c r="D254" s="86"/>
      <c r="E254" s="87"/>
      <c r="F254" s="87"/>
      <c r="G254" s="83">
        <v>3.125E-2</v>
      </c>
      <c r="H254" s="84"/>
      <c r="I254" s="88"/>
      <c r="K254" s="62" t="s">
        <v>14</v>
      </c>
      <c r="L254" s="89" t="s">
        <v>139</v>
      </c>
      <c r="M254" s="83">
        <v>3.125E-2</v>
      </c>
      <c r="N254" s="46"/>
    </row>
    <row r="255" spans="1:14">
      <c r="A255" s="45" t="s">
        <v>71</v>
      </c>
      <c r="B255" s="62" t="s">
        <v>15</v>
      </c>
      <c r="C255" s="89" t="s">
        <v>140</v>
      </c>
      <c r="D255" s="86"/>
      <c r="E255" s="87"/>
      <c r="F255" s="87"/>
      <c r="G255" s="83">
        <v>6.25E-2</v>
      </c>
      <c r="H255" s="84"/>
      <c r="I255" s="88"/>
      <c r="K255" s="62" t="s">
        <v>15</v>
      </c>
      <c r="L255" s="89" t="s">
        <v>140</v>
      </c>
      <c r="M255" s="83">
        <v>6.25E-2</v>
      </c>
      <c r="N255" s="46"/>
    </row>
    <row r="256" spans="1:14">
      <c r="A256" s="45" t="s">
        <v>71</v>
      </c>
      <c r="B256" s="62" t="s">
        <v>16</v>
      </c>
      <c r="C256" s="89" t="s">
        <v>50</v>
      </c>
      <c r="D256" s="86"/>
      <c r="E256" s="87"/>
      <c r="F256" s="87"/>
      <c r="G256" s="83">
        <v>6.25E-2</v>
      </c>
      <c r="H256" s="84"/>
      <c r="I256" s="88"/>
      <c r="K256" s="62" t="s">
        <v>16</v>
      </c>
      <c r="L256" s="89" t="s">
        <v>50</v>
      </c>
      <c r="M256" s="83">
        <v>6.25E-2</v>
      </c>
      <c r="N256" s="46"/>
    </row>
    <row r="257" spans="1:14">
      <c r="A257" s="45" t="s">
        <v>71</v>
      </c>
      <c r="B257" s="62" t="s">
        <v>17</v>
      </c>
      <c r="C257" s="89"/>
      <c r="D257" s="86"/>
      <c r="E257" s="87"/>
      <c r="F257" s="87"/>
      <c r="G257" s="83">
        <v>0</v>
      </c>
      <c r="H257" s="84"/>
      <c r="I257" s="90"/>
      <c r="K257" s="62" t="s">
        <v>17</v>
      </c>
      <c r="L257" s="89"/>
      <c r="M257" s="105"/>
      <c r="N257" s="46"/>
    </row>
    <row r="258" spans="1:14">
      <c r="A258" s="45" t="s">
        <v>71</v>
      </c>
      <c r="B258" s="62" t="s">
        <v>18</v>
      </c>
      <c r="C258" s="89"/>
      <c r="D258" s="86"/>
      <c r="E258" s="91"/>
      <c r="F258" s="91"/>
      <c r="G258" s="83">
        <v>0</v>
      </c>
      <c r="H258" s="84"/>
      <c r="I258" s="90"/>
      <c r="K258" s="62" t="s">
        <v>18</v>
      </c>
      <c r="L258" s="89"/>
      <c r="M258" s="105"/>
      <c r="N258" s="46"/>
    </row>
    <row r="259" spans="1:14">
      <c r="A259" s="45" t="s">
        <v>71</v>
      </c>
      <c r="B259" s="62" t="s">
        <v>19</v>
      </c>
      <c r="C259" s="89"/>
      <c r="D259" s="86"/>
      <c r="E259" s="91"/>
      <c r="F259" s="91"/>
      <c r="G259" s="83">
        <v>0</v>
      </c>
      <c r="H259" s="84"/>
      <c r="I259" s="90"/>
      <c r="K259" s="62" t="s">
        <v>19</v>
      </c>
      <c r="L259" s="89"/>
      <c r="M259" s="105"/>
      <c r="N259" s="46"/>
    </row>
    <row r="260" spans="1:14">
      <c r="A260" s="45" t="s">
        <v>71</v>
      </c>
      <c r="B260" s="62" t="s">
        <v>20</v>
      </c>
      <c r="C260" s="89"/>
      <c r="D260" s="86"/>
      <c r="E260" s="91"/>
      <c r="F260" s="91"/>
      <c r="G260" s="83">
        <v>0</v>
      </c>
      <c r="H260" s="84"/>
      <c r="I260" s="90"/>
      <c r="K260" s="62" t="s">
        <v>20</v>
      </c>
      <c r="L260" s="89"/>
      <c r="M260" s="105"/>
      <c r="N260" s="46"/>
    </row>
    <row r="261" spans="1:14">
      <c r="A261" s="45" t="s">
        <v>71</v>
      </c>
      <c r="B261" s="62" t="s">
        <v>21</v>
      </c>
      <c r="C261" s="89"/>
      <c r="D261" s="86"/>
      <c r="E261" s="91"/>
      <c r="F261" s="91"/>
      <c r="G261" s="83">
        <v>0</v>
      </c>
      <c r="H261" s="84"/>
      <c r="I261" s="90"/>
      <c r="K261" s="62" t="s">
        <v>21</v>
      </c>
      <c r="L261" s="89"/>
      <c r="M261" s="105"/>
      <c r="N261" s="46"/>
    </row>
    <row r="262" spans="1:14" ht="15" thickBot="1">
      <c r="A262" s="45" t="s">
        <v>71</v>
      </c>
      <c r="B262" s="62" t="s">
        <v>22</v>
      </c>
      <c r="C262" s="89"/>
      <c r="D262" s="86"/>
      <c r="E262" s="91"/>
      <c r="F262" s="91"/>
      <c r="G262" s="83">
        <v>0</v>
      </c>
      <c r="H262" s="84"/>
      <c r="I262" s="90"/>
      <c r="K262" s="70" t="s">
        <v>22</v>
      </c>
      <c r="L262" s="106"/>
      <c r="M262" s="107"/>
      <c r="N262" s="46"/>
    </row>
    <row r="263" spans="1:14">
      <c r="A263" s="45" t="s">
        <v>71</v>
      </c>
      <c r="B263" s="62" t="s">
        <v>23</v>
      </c>
      <c r="C263" s="89"/>
      <c r="D263" s="86"/>
      <c r="E263" s="91"/>
      <c r="F263" s="91"/>
      <c r="G263" s="83">
        <v>0</v>
      </c>
      <c r="H263" s="84"/>
      <c r="I263" s="90"/>
      <c r="K263" s="102" t="s">
        <v>23</v>
      </c>
      <c r="L263" s="103"/>
      <c r="M263" s="104"/>
      <c r="N263" s="46"/>
    </row>
    <row r="264" spans="1:14">
      <c r="A264" s="45" t="s">
        <v>71</v>
      </c>
      <c r="B264" s="62" t="s">
        <v>24</v>
      </c>
      <c r="C264" s="92"/>
      <c r="D264" s="90"/>
      <c r="E264" s="91"/>
      <c r="F264" s="91"/>
      <c r="G264" s="83">
        <v>0</v>
      </c>
      <c r="H264" s="84"/>
      <c r="I264" s="90"/>
      <c r="K264" s="62" t="s">
        <v>24</v>
      </c>
      <c r="L264" s="73"/>
      <c r="M264" s="77"/>
      <c r="N264" s="46"/>
    </row>
    <row r="265" spans="1:14">
      <c r="A265" s="45" t="s">
        <v>71</v>
      </c>
      <c r="B265" s="62" t="s">
        <v>25</v>
      </c>
      <c r="C265" s="92"/>
      <c r="D265" s="90"/>
      <c r="E265" s="91"/>
      <c r="F265" s="91"/>
      <c r="G265" s="83">
        <v>0</v>
      </c>
      <c r="H265" s="84"/>
      <c r="I265" s="90"/>
      <c r="K265" s="62" t="s">
        <v>25</v>
      </c>
      <c r="L265" s="73"/>
      <c r="M265" s="77"/>
      <c r="N265" s="46"/>
    </row>
    <row r="266" spans="1:14" ht="15" thickBot="1">
      <c r="A266" s="45" t="s">
        <v>71</v>
      </c>
      <c r="B266" s="62" t="s">
        <v>26</v>
      </c>
      <c r="C266" s="92"/>
      <c r="D266" s="90"/>
      <c r="E266" s="91"/>
      <c r="F266" s="91"/>
      <c r="G266" s="83">
        <v>0</v>
      </c>
      <c r="H266" s="84"/>
      <c r="I266" s="90"/>
      <c r="K266" s="70" t="s">
        <v>26</v>
      </c>
      <c r="L266" s="74"/>
      <c r="M266" s="78"/>
      <c r="N266" s="46"/>
    </row>
    <row r="267" spans="1:14" ht="15" thickBot="1">
      <c r="A267" s="45" t="s">
        <v>71</v>
      </c>
      <c r="B267" s="93" t="s">
        <v>27</v>
      </c>
      <c r="C267" s="94"/>
      <c r="D267" s="94"/>
      <c r="E267" s="95"/>
      <c r="F267" s="95"/>
      <c r="G267" s="83">
        <v>0</v>
      </c>
      <c r="H267" s="84"/>
      <c r="I267" s="94"/>
      <c r="N267" s="46"/>
    </row>
    <row r="268" spans="1:14" ht="15" thickBot="1">
      <c r="A268" s="45" t="s">
        <v>71</v>
      </c>
      <c r="B268" s="96"/>
      <c r="C268" s="97"/>
      <c r="D268" s="98"/>
      <c r="E268" s="97"/>
      <c r="F268" s="99" t="s">
        <v>5</v>
      </c>
      <c r="G268" s="100">
        <f>SUM(G248:G267)</f>
        <v>0.3263888888888889</v>
      </c>
      <c r="H268" s="101"/>
      <c r="I268" s="98"/>
      <c r="M268" s="67"/>
      <c r="N268" s="46"/>
    </row>
    <row r="269" spans="1:14" ht="15" thickBot="1">
      <c r="A269" s="47" t="s">
        <v>71</v>
      </c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9"/>
    </row>
  </sheetData>
  <mergeCells count="10">
    <mergeCell ref="B2:M2"/>
    <mergeCell ref="B29:M29"/>
    <mergeCell ref="B56:M56"/>
    <mergeCell ref="B83:M83"/>
    <mergeCell ref="B110:M110"/>
    <mergeCell ref="B245:M245"/>
    <mergeCell ref="B218:M218"/>
    <mergeCell ref="B191:M191"/>
    <mergeCell ref="B164:M164"/>
    <mergeCell ref="B137:M137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C1E5-4658-44AB-9578-9F6A243DABC2}">
  <dimension ref="A1:N26"/>
  <sheetViews>
    <sheetView tabSelected="1" workbookViewId="0">
      <selection activeCell="K4" sqref="K4:M15"/>
    </sheetView>
  </sheetViews>
  <sheetFormatPr defaultRowHeight="14.4"/>
  <sheetData>
    <row r="1" spans="1:14" ht="15" thickBot="1">
      <c r="A1" s="50" t="s">
        <v>71</v>
      </c>
      <c r="B1" s="51" t="s">
        <v>71</v>
      </c>
      <c r="C1" s="51" t="s">
        <v>71</v>
      </c>
      <c r="D1" s="51" t="s">
        <v>71</v>
      </c>
      <c r="E1" s="51" t="s">
        <v>71</v>
      </c>
      <c r="F1" s="51" t="s">
        <v>71</v>
      </c>
      <c r="G1" s="51" t="s">
        <v>71</v>
      </c>
      <c r="H1" s="51" t="s">
        <v>71</v>
      </c>
      <c r="I1" s="51" t="s">
        <v>71</v>
      </c>
      <c r="J1" s="51" t="s">
        <v>71</v>
      </c>
      <c r="K1" s="51" t="s">
        <v>71</v>
      </c>
      <c r="L1" s="51" t="s">
        <v>71</v>
      </c>
      <c r="M1" s="51" t="s">
        <v>71</v>
      </c>
      <c r="N1" s="52" t="s">
        <v>71</v>
      </c>
    </row>
    <row r="2" spans="1:14" ht="21.6" thickBot="1">
      <c r="A2" s="45" t="s">
        <v>71</v>
      </c>
      <c r="B2" s="110" t="s">
        <v>141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46"/>
    </row>
    <row r="3" spans="1:14" ht="15" thickBot="1">
      <c r="A3" s="45" t="s">
        <v>71</v>
      </c>
      <c r="N3" s="46"/>
    </row>
    <row r="4" spans="1:14" ht="15" thickBot="1">
      <c r="A4" s="45" t="s">
        <v>71</v>
      </c>
      <c r="B4" s="79" t="s">
        <v>0</v>
      </c>
      <c r="C4" s="79" t="s">
        <v>1</v>
      </c>
      <c r="D4" s="79" t="s">
        <v>2</v>
      </c>
      <c r="E4" s="79" t="s">
        <v>3</v>
      </c>
      <c r="F4" s="79" t="s">
        <v>4</v>
      </c>
      <c r="G4" s="79" t="s">
        <v>5</v>
      </c>
      <c r="H4" s="79" t="s">
        <v>6</v>
      </c>
      <c r="I4" s="79" t="s">
        <v>7</v>
      </c>
      <c r="K4" s="68" t="s">
        <v>0</v>
      </c>
      <c r="L4" s="79" t="s">
        <v>1</v>
      </c>
      <c r="M4" s="79" t="s">
        <v>51</v>
      </c>
      <c r="N4" s="46"/>
    </row>
    <row r="5" spans="1:14">
      <c r="A5" s="45" t="s">
        <v>71</v>
      </c>
      <c r="B5" s="61" t="s">
        <v>8</v>
      </c>
      <c r="C5" s="80" t="s">
        <v>142</v>
      </c>
      <c r="D5" s="81"/>
      <c r="E5" s="82"/>
      <c r="F5" s="82"/>
      <c r="G5" s="83">
        <v>2.4305555555555556E-2</v>
      </c>
      <c r="H5" s="84"/>
      <c r="I5" s="85"/>
      <c r="K5" s="61" t="s">
        <v>8</v>
      </c>
      <c r="L5" s="80" t="s">
        <v>142</v>
      </c>
      <c r="M5" s="83">
        <v>2.4305555555555556E-2</v>
      </c>
      <c r="N5" s="46"/>
    </row>
    <row r="6" spans="1:14">
      <c r="A6" s="45" t="s">
        <v>71</v>
      </c>
      <c r="B6" s="62" t="s">
        <v>9</v>
      </c>
      <c r="C6" s="80" t="s">
        <v>143</v>
      </c>
      <c r="D6" s="86"/>
      <c r="E6" s="87"/>
      <c r="F6" s="87"/>
      <c r="G6" s="83">
        <v>2.4305555555555556E-2</v>
      </c>
      <c r="H6" s="84"/>
      <c r="I6" s="88"/>
      <c r="K6" s="62" t="s">
        <v>9</v>
      </c>
      <c r="L6" s="80" t="s">
        <v>143</v>
      </c>
      <c r="M6" s="83">
        <v>2.4305555555555556E-2</v>
      </c>
      <c r="N6" s="46"/>
    </row>
    <row r="7" spans="1:14">
      <c r="A7" s="45" t="s">
        <v>71</v>
      </c>
      <c r="B7" s="62" t="s">
        <v>10</v>
      </c>
      <c r="C7" s="89" t="s">
        <v>144</v>
      </c>
      <c r="D7" s="86"/>
      <c r="E7" s="87"/>
      <c r="F7" s="87"/>
      <c r="G7" s="83">
        <v>2.0833333333333332E-2</v>
      </c>
      <c r="H7" s="84"/>
      <c r="I7" s="88"/>
      <c r="K7" s="62" t="s">
        <v>10</v>
      </c>
      <c r="L7" s="89" t="s">
        <v>144</v>
      </c>
      <c r="M7" s="83">
        <v>2.0833333333333332E-2</v>
      </c>
      <c r="N7" s="46"/>
    </row>
    <row r="8" spans="1:14">
      <c r="A8" s="45" t="s">
        <v>71</v>
      </c>
      <c r="B8" s="62" t="s">
        <v>11</v>
      </c>
      <c r="C8" s="89" t="s">
        <v>145</v>
      </c>
      <c r="D8" s="86"/>
      <c r="E8" s="87"/>
      <c r="F8" s="87"/>
      <c r="G8" s="83">
        <v>3.125E-2</v>
      </c>
      <c r="H8" s="84"/>
      <c r="I8" s="88"/>
      <c r="K8" s="62" t="s">
        <v>11</v>
      </c>
      <c r="L8" s="89" t="s">
        <v>145</v>
      </c>
      <c r="M8" s="83">
        <v>3.125E-2</v>
      </c>
      <c r="N8" s="46"/>
    </row>
    <row r="9" spans="1:14">
      <c r="A9" s="45" t="s">
        <v>71</v>
      </c>
      <c r="B9" s="62" t="s">
        <v>12</v>
      </c>
      <c r="C9" s="89" t="s">
        <v>146</v>
      </c>
      <c r="D9" s="86"/>
      <c r="E9" s="87"/>
      <c r="F9" s="87"/>
      <c r="G9" s="83">
        <v>5.2083333333333336E-2</v>
      </c>
      <c r="H9" s="84"/>
      <c r="I9" s="88"/>
      <c r="K9" s="62" t="s">
        <v>12</v>
      </c>
      <c r="L9" s="89" t="s">
        <v>146</v>
      </c>
      <c r="M9" s="83">
        <v>5.2083333333333336E-2</v>
      </c>
      <c r="N9" s="46"/>
    </row>
    <row r="10" spans="1:14">
      <c r="A10" s="45" t="s">
        <v>71</v>
      </c>
      <c r="B10" s="62" t="s">
        <v>13</v>
      </c>
      <c r="C10" s="89" t="s">
        <v>147</v>
      </c>
      <c r="D10" s="86"/>
      <c r="E10" s="87"/>
      <c r="F10" s="87"/>
      <c r="G10" s="83">
        <v>3.4722222222222224E-2</v>
      </c>
      <c r="H10" s="84"/>
      <c r="I10" s="88"/>
      <c r="K10" s="62" t="s">
        <v>13</v>
      </c>
      <c r="L10" s="89" t="s">
        <v>147</v>
      </c>
      <c r="M10" s="83">
        <v>3.4722222222222224E-2</v>
      </c>
      <c r="N10" s="46"/>
    </row>
    <row r="11" spans="1:14">
      <c r="A11" s="45" t="s">
        <v>71</v>
      </c>
      <c r="B11" s="62" t="s">
        <v>14</v>
      </c>
      <c r="C11" s="89" t="s">
        <v>148</v>
      </c>
      <c r="D11" s="86"/>
      <c r="E11" s="91"/>
      <c r="F11" s="91"/>
      <c r="G11" s="83">
        <v>6.25E-2</v>
      </c>
      <c r="H11" s="84"/>
      <c r="I11" s="88"/>
      <c r="K11" s="62" t="s">
        <v>14</v>
      </c>
      <c r="L11" s="89" t="s">
        <v>148</v>
      </c>
      <c r="M11" s="83">
        <v>6.25E-2</v>
      </c>
      <c r="N11" s="46"/>
    </row>
    <row r="12" spans="1:14">
      <c r="A12" s="45" t="s">
        <v>71</v>
      </c>
      <c r="B12" s="62" t="s">
        <v>15</v>
      </c>
      <c r="C12" s="89" t="s">
        <v>149</v>
      </c>
      <c r="D12" s="86"/>
      <c r="E12" s="91"/>
      <c r="F12" s="91"/>
      <c r="G12" s="83">
        <v>1.3888888888888888E-2</v>
      </c>
      <c r="H12" s="84"/>
      <c r="I12" s="88"/>
      <c r="K12" s="62" t="s">
        <v>15</v>
      </c>
      <c r="L12" s="89" t="s">
        <v>149</v>
      </c>
      <c r="M12" s="83">
        <v>1.3888888888888888E-2</v>
      </c>
      <c r="N12" s="46"/>
    </row>
    <row r="13" spans="1:14">
      <c r="A13" s="45" t="s">
        <v>71</v>
      </c>
      <c r="B13" s="62" t="s">
        <v>16</v>
      </c>
      <c r="C13" s="89" t="s">
        <v>150</v>
      </c>
      <c r="D13" s="86"/>
      <c r="E13" s="91"/>
      <c r="F13" s="91"/>
      <c r="G13" s="83">
        <v>1.3888888888888888E-2</v>
      </c>
      <c r="H13" s="84"/>
      <c r="I13" s="88"/>
      <c r="K13" s="62" t="s">
        <v>16</v>
      </c>
      <c r="L13" s="89" t="s">
        <v>150</v>
      </c>
      <c r="M13" s="83">
        <v>1.3888888888888888E-2</v>
      </c>
      <c r="N13" s="46"/>
    </row>
    <row r="14" spans="1:14">
      <c r="A14" s="45" t="s">
        <v>71</v>
      </c>
      <c r="B14" s="62" t="s">
        <v>17</v>
      </c>
      <c r="C14" s="89" t="s">
        <v>151</v>
      </c>
      <c r="D14" s="86"/>
      <c r="E14" s="91"/>
      <c r="F14" s="91"/>
      <c r="G14" s="83">
        <v>4.1666666666666664E-2</v>
      </c>
      <c r="H14" s="84"/>
      <c r="I14" s="90"/>
      <c r="K14" s="62" t="s">
        <v>17</v>
      </c>
      <c r="L14" s="89" t="s">
        <v>151</v>
      </c>
      <c r="M14" s="83">
        <v>4.1666666666666664E-2</v>
      </c>
      <c r="N14" s="46"/>
    </row>
    <row r="15" spans="1:14">
      <c r="A15" s="45" t="s">
        <v>71</v>
      </c>
      <c r="B15" s="62" t="s">
        <v>18</v>
      </c>
      <c r="C15" s="92" t="s">
        <v>152</v>
      </c>
      <c r="D15" s="90"/>
      <c r="E15" s="91"/>
      <c r="F15" s="91"/>
      <c r="G15" s="83">
        <v>1.3888888888888888E-2</v>
      </c>
      <c r="H15" s="84"/>
      <c r="I15" s="90"/>
      <c r="K15" s="62" t="s">
        <v>18</v>
      </c>
      <c r="L15" s="92" t="s">
        <v>152</v>
      </c>
      <c r="M15" s="83">
        <v>1.3888888888888888E-2</v>
      </c>
      <c r="N15" s="46"/>
    </row>
    <row r="16" spans="1:14">
      <c r="A16" s="45" t="s">
        <v>71</v>
      </c>
      <c r="B16" s="62" t="s">
        <v>19</v>
      </c>
      <c r="C16" s="89"/>
      <c r="D16" s="86"/>
      <c r="E16" s="91"/>
      <c r="F16" s="91"/>
      <c r="G16" s="83">
        <v>0</v>
      </c>
      <c r="H16" s="84"/>
      <c r="I16" s="90"/>
      <c r="K16" s="62" t="s">
        <v>19</v>
      </c>
      <c r="L16" s="89"/>
      <c r="M16" s="105"/>
      <c r="N16" s="46"/>
    </row>
    <row r="17" spans="1:14">
      <c r="A17" s="45" t="s">
        <v>71</v>
      </c>
      <c r="B17" s="62" t="s">
        <v>20</v>
      </c>
      <c r="C17" s="89"/>
      <c r="D17" s="86"/>
      <c r="E17" s="91"/>
      <c r="F17" s="91"/>
      <c r="G17" s="83">
        <v>0</v>
      </c>
      <c r="H17" s="84"/>
      <c r="I17" s="90"/>
      <c r="K17" s="62" t="s">
        <v>20</v>
      </c>
      <c r="L17" s="89"/>
      <c r="M17" s="105"/>
      <c r="N17" s="46"/>
    </row>
    <row r="18" spans="1:14">
      <c r="A18" s="45" t="s">
        <v>71</v>
      </c>
      <c r="B18" s="62" t="s">
        <v>21</v>
      </c>
      <c r="C18" s="89"/>
      <c r="D18" s="86"/>
      <c r="E18" s="91"/>
      <c r="F18" s="91"/>
      <c r="G18" s="83">
        <v>0</v>
      </c>
      <c r="H18" s="84"/>
      <c r="I18" s="90"/>
      <c r="K18" s="62" t="s">
        <v>21</v>
      </c>
      <c r="L18" s="89"/>
      <c r="M18" s="105"/>
      <c r="N18" s="46"/>
    </row>
    <row r="19" spans="1:14" ht="15" thickBot="1">
      <c r="A19" s="45" t="s">
        <v>71</v>
      </c>
      <c r="B19" s="62" t="s">
        <v>22</v>
      </c>
      <c r="C19" s="89"/>
      <c r="D19" s="86"/>
      <c r="E19" s="91"/>
      <c r="F19" s="91"/>
      <c r="G19" s="83">
        <v>0</v>
      </c>
      <c r="H19" s="84"/>
      <c r="I19" s="90"/>
      <c r="K19" s="70" t="s">
        <v>22</v>
      </c>
      <c r="L19" s="106"/>
      <c r="M19" s="107"/>
      <c r="N19" s="46"/>
    </row>
    <row r="20" spans="1:14">
      <c r="A20" s="45" t="s">
        <v>71</v>
      </c>
      <c r="B20" s="62" t="s">
        <v>23</v>
      </c>
      <c r="C20" s="89"/>
      <c r="D20" s="86"/>
      <c r="E20" s="91"/>
      <c r="F20" s="91"/>
      <c r="G20" s="83">
        <v>0</v>
      </c>
      <c r="H20" s="84"/>
      <c r="I20" s="90"/>
      <c r="K20" s="102" t="s">
        <v>23</v>
      </c>
      <c r="L20" s="103"/>
      <c r="M20" s="104"/>
      <c r="N20" s="46"/>
    </row>
    <row r="21" spans="1:14">
      <c r="A21" s="45" t="s">
        <v>71</v>
      </c>
      <c r="B21" s="62" t="s">
        <v>24</v>
      </c>
      <c r="C21" s="89"/>
      <c r="D21" s="86"/>
      <c r="E21" s="91"/>
      <c r="F21" s="91"/>
      <c r="G21" s="83">
        <v>0</v>
      </c>
      <c r="H21" s="84"/>
      <c r="I21" s="90"/>
      <c r="K21" s="62" t="s">
        <v>24</v>
      </c>
      <c r="L21" s="73"/>
      <c r="M21" s="77"/>
      <c r="N21" s="46"/>
    </row>
    <row r="22" spans="1:14">
      <c r="A22" s="45" t="s">
        <v>71</v>
      </c>
      <c r="B22" s="62" t="s">
        <v>25</v>
      </c>
      <c r="C22" s="92"/>
      <c r="D22" s="90"/>
      <c r="E22" s="91"/>
      <c r="F22" s="91"/>
      <c r="G22" s="83">
        <v>0</v>
      </c>
      <c r="H22" s="84"/>
      <c r="I22" s="90"/>
      <c r="K22" s="62" t="s">
        <v>25</v>
      </c>
      <c r="L22" s="73"/>
      <c r="M22" s="77"/>
      <c r="N22" s="46"/>
    </row>
    <row r="23" spans="1:14" ht="15" thickBot="1">
      <c r="A23" s="45" t="s">
        <v>71</v>
      </c>
      <c r="B23" s="62" t="s">
        <v>26</v>
      </c>
      <c r="C23" s="92"/>
      <c r="D23" s="90"/>
      <c r="E23" s="91"/>
      <c r="F23" s="91"/>
      <c r="G23" s="83">
        <v>0</v>
      </c>
      <c r="H23" s="84"/>
      <c r="I23" s="90"/>
      <c r="K23" s="70" t="s">
        <v>26</v>
      </c>
      <c r="L23" s="74"/>
      <c r="M23" s="78"/>
      <c r="N23" s="46"/>
    </row>
    <row r="24" spans="1:14" ht="15" thickBot="1">
      <c r="A24" s="45" t="s">
        <v>71</v>
      </c>
      <c r="B24" s="93" t="s">
        <v>27</v>
      </c>
      <c r="C24" s="94"/>
      <c r="D24" s="94"/>
      <c r="E24" s="95"/>
      <c r="F24" s="95"/>
      <c r="G24" s="83">
        <v>0</v>
      </c>
      <c r="H24" s="84"/>
      <c r="I24" s="94"/>
      <c r="N24" s="46"/>
    </row>
    <row r="25" spans="1:14" ht="15" thickBot="1">
      <c r="A25" s="45" t="s">
        <v>71</v>
      </c>
      <c r="B25" s="96"/>
      <c r="C25" s="97"/>
      <c r="D25" s="98"/>
      <c r="E25" s="97"/>
      <c r="F25" s="99" t="s">
        <v>5</v>
      </c>
      <c r="G25" s="100">
        <f>SUM(G5:G24)</f>
        <v>0.33333333333333337</v>
      </c>
      <c r="H25" s="101"/>
      <c r="I25" s="98"/>
      <c r="M25" s="67"/>
      <c r="N25" s="46"/>
    </row>
    <row r="26" spans="1:14" ht="15" thickBot="1">
      <c r="A26" s="47" t="s">
        <v>71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9"/>
    </row>
  </sheetData>
  <mergeCells count="1"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day_month</vt:lpstr>
      <vt:lpstr>January</vt:lpstr>
      <vt:lpstr>February</vt:lpstr>
      <vt:lpstr>March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2026-03-05T03:47:03Z</dcterms:modified>
</cp:coreProperties>
</file>