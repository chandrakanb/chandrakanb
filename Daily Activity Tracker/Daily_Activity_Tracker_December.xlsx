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8D4E59BA-DDAE-4C35-A5E4-7AA33845740C}" xr6:coauthVersionLast="47" xr6:coauthVersionMax="47" xr10:uidLastSave="{00000000-0000-0000-0000-000000000000}"/>
  <bookViews>
    <workbookView xWindow="-96" yWindow="-96" windowWidth="23232" windowHeight="12432" activeTab="5" xr2:uid="{00000000-000D-0000-FFFF-FFFF00000000}"/>
  </bookViews>
  <sheets>
    <sheet name="day_month" sheetId="1" r:id="rId1"/>
    <sheet name="5th_December" sheetId="2" r:id="rId2"/>
    <sheet name="6th_December" sheetId="3" r:id="rId3"/>
    <sheet name="10th_December" sheetId="4" r:id="rId4"/>
    <sheet name="16th_December" sheetId="5" r:id="rId5"/>
    <sheet name="23rd_Decemb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A21" i="6"/>
  <c r="F20" i="6"/>
  <c r="A20" i="6"/>
  <c r="F19" i="6"/>
  <c r="A19" i="6"/>
  <c r="F18" i="6"/>
  <c r="A18" i="6"/>
  <c r="F17" i="6"/>
  <c r="A17" i="6"/>
  <c r="F16" i="6"/>
  <c r="A16" i="6"/>
  <c r="F15" i="6"/>
  <c r="A15" i="6"/>
  <c r="F14" i="6"/>
  <c r="A14" i="6"/>
  <c r="F13" i="6"/>
  <c r="A13" i="6"/>
  <c r="F12" i="6"/>
  <c r="A12" i="6"/>
  <c r="F11" i="6"/>
  <c r="A11" i="6"/>
  <c r="F10" i="6"/>
  <c r="A10" i="6"/>
  <c r="F9" i="6"/>
  <c r="A9" i="6"/>
  <c r="F8" i="6"/>
  <c r="A8" i="6"/>
  <c r="F7" i="6"/>
  <c r="A7" i="6"/>
  <c r="F6" i="6"/>
  <c r="A6" i="6"/>
  <c r="F5" i="6"/>
  <c r="A5" i="6"/>
  <c r="F4" i="6"/>
  <c r="A4" i="6"/>
  <c r="F3" i="6"/>
  <c r="A3" i="6"/>
  <c r="F2" i="6"/>
  <c r="A2" i="6"/>
  <c r="F21" i="5"/>
  <c r="A21" i="5"/>
  <c r="F20" i="5"/>
  <c r="A20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A6" i="5"/>
  <c r="F5" i="5"/>
  <c r="A5" i="5"/>
  <c r="F4" i="5"/>
  <c r="F22" i="5" s="1"/>
  <c r="A4" i="5"/>
  <c r="F3" i="5"/>
  <c r="A3" i="5"/>
  <c r="F2" i="5"/>
  <c r="A2" i="5"/>
  <c r="F21" i="4"/>
  <c r="A21" i="4"/>
  <c r="F20" i="4"/>
  <c r="A20" i="4"/>
  <c r="F19" i="4"/>
  <c r="A19" i="4"/>
  <c r="F18" i="4"/>
  <c r="A18" i="4"/>
  <c r="F17" i="4"/>
  <c r="A17" i="4"/>
  <c r="F16" i="4"/>
  <c r="A16" i="4"/>
  <c r="F15" i="4"/>
  <c r="A15" i="4"/>
  <c r="F14" i="4"/>
  <c r="A14" i="4"/>
  <c r="F13" i="4"/>
  <c r="A13" i="4"/>
  <c r="F12" i="4"/>
  <c r="A12" i="4"/>
  <c r="F11" i="4"/>
  <c r="A11" i="4"/>
  <c r="F10" i="4"/>
  <c r="A10" i="4"/>
  <c r="F9" i="4"/>
  <c r="A9" i="4"/>
  <c r="F8" i="4"/>
  <c r="A8" i="4"/>
  <c r="F7" i="4"/>
  <c r="A7" i="4"/>
  <c r="F6" i="4"/>
  <c r="A6" i="4"/>
  <c r="F5" i="4"/>
  <c r="A5" i="4"/>
  <c r="F4" i="4"/>
  <c r="A4" i="4"/>
  <c r="F3" i="4"/>
  <c r="A3" i="4"/>
  <c r="F2" i="4"/>
  <c r="F22" i="4" s="1"/>
  <c r="A2" i="4"/>
  <c r="F21" i="3"/>
  <c r="A21" i="3"/>
  <c r="F20" i="3"/>
  <c r="A20" i="3"/>
  <c r="F19" i="3"/>
  <c r="A19" i="3"/>
  <c r="F18" i="3"/>
  <c r="A18" i="3"/>
  <c r="F17" i="3"/>
  <c r="A17" i="3"/>
  <c r="F16" i="3"/>
  <c r="A16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A6" i="3"/>
  <c r="F5" i="3"/>
  <c r="A5" i="3"/>
  <c r="F4" i="3"/>
  <c r="A4" i="3"/>
  <c r="F3" i="3"/>
  <c r="F22" i="3" s="1"/>
  <c r="A3" i="3"/>
  <c r="F2" i="3"/>
  <c r="A2" i="3"/>
  <c r="F21" i="2"/>
  <c r="A21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F7" i="2"/>
  <c r="A7" i="2"/>
  <c r="F6" i="2"/>
  <c r="A6" i="2"/>
  <c r="F5" i="2"/>
  <c r="A5" i="2"/>
  <c r="F4" i="2"/>
  <c r="A4" i="2"/>
  <c r="F3" i="2"/>
  <c r="A3" i="2"/>
  <c r="F2" i="2"/>
  <c r="F22" i="2" s="1"/>
  <c r="A2" i="2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F4" i="1"/>
  <c r="A4" i="1"/>
  <c r="F3" i="1"/>
  <c r="A3" i="1"/>
  <c r="F2" i="1"/>
  <c r="F22" i="1" s="1"/>
  <c r="A2" i="1"/>
  <c r="F22" i="6" l="1"/>
</calcChain>
</file>

<file path=xl/sharedStrings.xml><?xml version="1.0" encoding="utf-8"?>
<sst xmlns="http://schemas.openxmlformats.org/spreadsheetml/2006/main" count="125" uniqueCount="33">
  <si>
    <t xml:space="preserve">Sr.No. </t>
  </si>
  <si>
    <t>Activity</t>
  </si>
  <si>
    <t>Start Time</t>
  </si>
  <si>
    <t>End Time</t>
  </si>
  <si>
    <t>Planned Time</t>
  </si>
  <si>
    <t>Actual Time</t>
  </si>
  <si>
    <t xml:space="preserve">Status </t>
  </si>
  <si>
    <t>Published the Overnight Execution Reports of Bench 09.</t>
  </si>
  <si>
    <t>Overnight Execution Analysis of Bench 09.</t>
  </si>
  <si>
    <t>Auto-Flashing Analysis on Bench 09.</t>
  </si>
  <si>
    <t>Attended meeting</t>
  </si>
  <si>
    <t>Taken git pull/push on Bench 09.</t>
  </si>
  <si>
    <t>Performed Sanity on Bench 09.</t>
  </si>
  <si>
    <t>Checked missing resource popup on Bench 09.</t>
  </si>
  <si>
    <t>Connected Bench 09 to Jenkins Pipeline.</t>
  </si>
  <si>
    <t>Total</t>
  </si>
  <si>
    <t>-</t>
  </si>
  <si>
    <t>Completed</t>
  </si>
  <si>
    <t>Re-executed the failed test script in daytime.</t>
  </si>
  <si>
    <t>Filled Sanity Checklist</t>
  </si>
  <si>
    <t>Sanity Images Push</t>
  </si>
  <si>
    <t>Check VIN Issue on Bench 07.</t>
  </si>
  <si>
    <t>New Desktop Setup
- Bench 11: Completed</t>
  </si>
  <si>
    <t>In-Progress</t>
  </si>
  <si>
    <t>Python File for Reports</t>
  </si>
  <si>
    <t>Python File for FCP Flashing</t>
  </si>
  <si>
    <t>Teraterm Mode</t>
  </si>
  <si>
    <t>Raise Old Reviews</t>
  </si>
  <si>
    <t>Renamed the test packs in kite for Bench 09</t>
  </si>
  <si>
    <t>Made the config file for Bench 09</t>
  </si>
  <si>
    <t>New Desktop Setup:  Bench 13</t>
  </si>
  <si>
    <t>Triggered Daytime execution on Bench 09.</t>
  </si>
  <si>
    <t>Approx.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</si>
</sst>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wrapText="1"/>
    </xf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7" xfId="0" applyFill="1" applyBorder="1"/>
    <xf numFmtId="0" fontId="0" fillId="3" borderId="9" xfId="0" applyFill="1" applyBorder="1" applyAlignment="1">
      <alignment wrapText="1"/>
    </xf>
    <xf numFmtId="164" fontId="0" fillId="3" borderId="10" xfId="0" applyNumberFormat="1" applyFill="1" applyBorder="1"/>
    <xf numFmtId="0" fontId="0" fillId="3" borderId="10" xfId="0" applyFill="1" applyBorder="1" applyAlignment="1">
      <alignment wrapText="1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64" fontId="1" fillId="3" borderId="14" xfId="0" applyNumberFormat="1" applyFont="1" applyFill="1" applyBorder="1" applyAlignment="1">
      <alignment wrapText="1"/>
    </xf>
    <xf numFmtId="164" fontId="1" fillId="3" borderId="2" xfId="0" applyNumberFormat="1" applyFont="1" applyFill="1" applyBorder="1" applyAlignment="1">
      <alignment wrapText="1"/>
    </xf>
    <xf numFmtId="164" fontId="1" fillId="3" borderId="4" xfId="0" applyNumberFormat="1" applyFont="1" applyFill="1" applyBorder="1"/>
    <xf numFmtId="0" fontId="0" fillId="3" borderId="2" xfId="0" applyFill="1" applyBorder="1"/>
    <xf numFmtId="21" fontId="0" fillId="0" borderId="0" xfId="0" applyNumberFormat="1"/>
    <xf numFmtId="0" fontId="1" fillId="4" borderId="15" xfId="0" applyFont="1" applyFill="1" applyBorder="1"/>
    <xf numFmtId="21" fontId="1" fillId="4" borderId="16" xfId="0" applyNumberFormat="1" applyFont="1" applyFill="1" applyBorder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G2" sqref="G2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3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</row>
    <row r="3" spans="1:7" x14ac:dyDescent="0.3">
      <c r="A3" s="6">
        <f t="shared" si="0"/>
        <v>2</v>
      </c>
      <c r="B3" s="12" t="s">
        <v>8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7" x14ac:dyDescent="0.3">
      <c r="A4" s="6">
        <f t="shared" si="0"/>
        <v>3</v>
      </c>
      <c r="B4" s="14" t="s">
        <v>9</v>
      </c>
      <c r="C4" s="13"/>
      <c r="D4" s="10"/>
      <c r="E4" s="10">
        <v>6.9444444444444441E-3</v>
      </c>
      <c r="F4" s="10">
        <f t="shared" si="1"/>
        <v>0</v>
      </c>
      <c r="G4" s="11"/>
    </row>
    <row r="5" spans="1:7" x14ac:dyDescent="0.3">
      <c r="A5" s="6">
        <f t="shared" si="0"/>
        <v>4</v>
      </c>
      <c r="B5" s="12" t="s">
        <v>10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7" x14ac:dyDescent="0.3">
      <c r="A6" s="6">
        <f t="shared" si="0"/>
        <v>5</v>
      </c>
      <c r="B6" s="12"/>
      <c r="C6" s="13"/>
      <c r="D6" s="10"/>
      <c r="E6" s="10"/>
      <c r="F6" s="10">
        <f t="shared" si="1"/>
        <v>0</v>
      </c>
      <c r="G6" s="11"/>
    </row>
    <row r="7" spans="1:7" x14ac:dyDescent="0.3">
      <c r="A7" s="6">
        <f t="shared" si="0"/>
        <v>6</v>
      </c>
      <c r="B7" s="12"/>
      <c r="C7" s="13"/>
      <c r="D7" s="10"/>
      <c r="E7" s="10"/>
      <c r="F7" s="10">
        <f t="shared" si="1"/>
        <v>0</v>
      </c>
      <c r="G7" s="11"/>
    </row>
    <row r="8" spans="1:7" x14ac:dyDescent="0.3">
      <c r="A8" s="6">
        <f t="shared" si="0"/>
        <v>7</v>
      </c>
      <c r="B8" s="12"/>
      <c r="C8" s="13"/>
      <c r="D8" s="10"/>
      <c r="E8" s="10"/>
      <c r="F8" s="13">
        <f t="shared" si="1"/>
        <v>0</v>
      </c>
      <c r="G8" s="11"/>
    </row>
    <row r="9" spans="1:7" x14ac:dyDescent="0.3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7" x14ac:dyDescent="0.3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7" x14ac:dyDescent="0.3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7" x14ac:dyDescent="0.3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7" x14ac:dyDescent="0.3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7" x14ac:dyDescent="0.3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7" x14ac:dyDescent="0.3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7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 t="s">
        <v>11</v>
      </c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 t="s">
        <v>12</v>
      </c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 t="s">
        <v>13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 t="s">
        <v>14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>
        <f>SUM(F2:F21)</f>
        <v>0</v>
      </c>
      <c r="G22" s="23"/>
    </row>
  </sheetData>
  <conditionalFormatting sqref="G2:G21">
    <cfRule type="expression" dxfId="11" priority="1">
      <formula>SEARCH("In-Progress", G2)</formula>
    </cfRule>
    <cfRule type="expression" dxfId="10" priority="2">
      <formula>SEARCH("Incomplete", G2)</formula>
    </cfRule>
    <cfRule type="expression" dxfId="9" priority="3">
      <formula>SEARCH("Completed", G2)</formula>
    </cfRule>
  </conditionalFormatting>
  <dataValidations count="1">
    <dataValidation type="list" allowBlank="1" showInputMessage="1" showErrorMessage="1" sqref="G2:G21" xr:uid="{00000000-0002-0000-0000-000000000000}">
      <formula1>"Completed, Incomplete, In-Progress"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G2" sqref="G2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3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</row>
    <row r="3" spans="1:7" x14ac:dyDescent="0.3">
      <c r="A3" s="6">
        <f t="shared" si="0"/>
        <v>2</v>
      </c>
      <c r="B3" s="12" t="s">
        <v>8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7" x14ac:dyDescent="0.3">
      <c r="A4" s="6">
        <f t="shared" si="0"/>
        <v>3</v>
      </c>
      <c r="B4" s="14" t="s">
        <v>9</v>
      </c>
      <c r="C4" s="13"/>
      <c r="D4" s="10"/>
      <c r="E4" s="10">
        <v>6.9444444444444441E-3</v>
      </c>
      <c r="F4" s="10">
        <f t="shared" si="1"/>
        <v>0</v>
      </c>
      <c r="G4" s="11"/>
    </row>
    <row r="5" spans="1:7" x14ac:dyDescent="0.3">
      <c r="A5" s="6">
        <f t="shared" si="0"/>
        <v>4</v>
      </c>
      <c r="B5" s="12" t="s">
        <v>10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7" x14ac:dyDescent="0.3">
      <c r="A6" s="6">
        <f t="shared" si="0"/>
        <v>5</v>
      </c>
      <c r="B6" s="12"/>
      <c r="C6" s="13"/>
      <c r="D6" s="10"/>
      <c r="E6" s="10"/>
      <c r="F6" s="10">
        <f t="shared" si="1"/>
        <v>0</v>
      </c>
      <c r="G6" s="11"/>
    </row>
    <row r="7" spans="1:7" x14ac:dyDescent="0.3">
      <c r="A7" s="6">
        <f t="shared" si="0"/>
        <v>6</v>
      </c>
      <c r="B7" s="12"/>
      <c r="C7" s="13"/>
      <c r="D7" s="10"/>
      <c r="E7" s="10"/>
      <c r="F7" s="10">
        <f t="shared" si="1"/>
        <v>0</v>
      </c>
      <c r="G7" s="11"/>
    </row>
    <row r="8" spans="1:7" x14ac:dyDescent="0.3">
      <c r="A8" s="6">
        <f t="shared" si="0"/>
        <v>7</v>
      </c>
      <c r="B8" s="12"/>
      <c r="C8" s="13"/>
      <c r="D8" s="10"/>
      <c r="E8" s="10"/>
      <c r="F8" s="13">
        <f t="shared" si="1"/>
        <v>0</v>
      </c>
      <c r="G8" s="11"/>
    </row>
    <row r="9" spans="1:7" x14ac:dyDescent="0.3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7" x14ac:dyDescent="0.3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7" x14ac:dyDescent="0.3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7" x14ac:dyDescent="0.3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7" x14ac:dyDescent="0.3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7" x14ac:dyDescent="0.3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7" x14ac:dyDescent="0.3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7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 t="s">
        <v>11</v>
      </c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 t="s">
        <v>12</v>
      </c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 t="s">
        <v>13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 t="s">
        <v>14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>
        <f>SUM(F2:F21)</f>
        <v>0</v>
      </c>
      <c r="G22" s="23"/>
    </row>
  </sheetData>
  <conditionalFormatting sqref="G2:G21">
    <cfRule type="expression" dxfId="8" priority="1">
      <formula>SEARCH("In-Progress", G2)</formula>
    </cfRule>
    <cfRule type="expression" dxfId="7" priority="2">
      <formula>SEARCH("Incomplete", G2)</formula>
    </cfRule>
    <cfRule type="expression" dxfId="6" priority="3">
      <formula>SEARCH("Completed", G2)</formula>
    </cfRule>
  </conditionalFormatting>
  <dataValidations count="1">
    <dataValidation type="list" allowBlank="1" showInputMessage="1" showErrorMessage="1" sqref="G2:G21" xr:uid="{00000000-0002-0000-0100-000000000000}">
      <formula1>"Completed, Incomplete, In-Progress"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B2" sqref="B2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3">
      <c r="A2" s="6">
        <f t="shared" ref="A2:A21" si="0">ROW() - ROW($A$1)</f>
        <v>1</v>
      </c>
      <c r="B2" s="7"/>
      <c r="C2" s="8"/>
      <c r="D2" s="9"/>
      <c r="E2" s="9">
        <v>1.388888888888889E-2</v>
      </c>
      <c r="F2" s="10">
        <f t="shared" ref="F2:F21" si="1">D2-C2</f>
        <v>0</v>
      </c>
      <c r="G2" s="11"/>
    </row>
    <row r="3" spans="1:7" x14ac:dyDescent="0.3">
      <c r="A3" s="6">
        <f t="shared" si="0"/>
        <v>2</v>
      </c>
      <c r="B3" s="12"/>
      <c r="C3" s="13"/>
      <c r="D3" s="10"/>
      <c r="E3" s="10">
        <v>1.7361111111111108E-2</v>
      </c>
      <c r="F3" s="10">
        <f t="shared" si="1"/>
        <v>0</v>
      </c>
      <c r="G3" s="11"/>
    </row>
    <row r="4" spans="1:7" x14ac:dyDescent="0.3">
      <c r="A4" s="6">
        <f t="shared" si="0"/>
        <v>3</v>
      </c>
      <c r="B4" s="14"/>
      <c r="C4" s="13"/>
      <c r="D4" s="10"/>
      <c r="E4" s="10">
        <v>6.9444444444444441E-3</v>
      </c>
      <c r="F4" s="10">
        <f t="shared" si="1"/>
        <v>0</v>
      </c>
      <c r="G4" s="11"/>
    </row>
    <row r="5" spans="1:7" x14ac:dyDescent="0.3">
      <c r="A5" s="6">
        <f t="shared" si="0"/>
        <v>4</v>
      </c>
      <c r="B5" s="12"/>
      <c r="C5" s="13"/>
      <c r="D5" s="10"/>
      <c r="E5" s="10">
        <v>4.1666666666666657E-2</v>
      </c>
      <c r="F5" s="10">
        <f t="shared" si="1"/>
        <v>0</v>
      </c>
      <c r="G5" s="11"/>
    </row>
    <row r="6" spans="1:7" x14ac:dyDescent="0.3">
      <c r="A6" s="6">
        <f t="shared" si="0"/>
        <v>5</v>
      </c>
      <c r="B6" s="12"/>
      <c r="C6" s="13"/>
      <c r="D6" s="10"/>
      <c r="E6" s="10"/>
      <c r="F6" s="10">
        <f t="shared" si="1"/>
        <v>0</v>
      </c>
      <c r="G6" s="11"/>
    </row>
    <row r="7" spans="1:7" x14ac:dyDescent="0.3">
      <c r="A7" s="6">
        <f t="shared" si="0"/>
        <v>6</v>
      </c>
      <c r="B7" s="12"/>
      <c r="C7" s="13"/>
      <c r="D7" s="10"/>
      <c r="E7" s="10"/>
      <c r="F7" s="10">
        <f t="shared" si="1"/>
        <v>0</v>
      </c>
      <c r="G7" s="11"/>
    </row>
    <row r="8" spans="1:7" x14ac:dyDescent="0.3">
      <c r="A8" s="6">
        <f t="shared" si="0"/>
        <v>7</v>
      </c>
      <c r="B8" s="12"/>
      <c r="C8" s="13"/>
      <c r="D8" s="10"/>
      <c r="E8" s="10"/>
      <c r="F8" s="13">
        <f t="shared" si="1"/>
        <v>0</v>
      </c>
      <c r="G8" s="11"/>
    </row>
    <row r="9" spans="1:7" x14ac:dyDescent="0.3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7" x14ac:dyDescent="0.3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7" x14ac:dyDescent="0.3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7" x14ac:dyDescent="0.3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7" x14ac:dyDescent="0.3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7" x14ac:dyDescent="0.3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7" x14ac:dyDescent="0.3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7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/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/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/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/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>
        <f>SUM(F2:F21)</f>
        <v>0</v>
      </c>
      <c r="G2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B1" sqref="B1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3">
      <c r="A2" s="6">
        <f t="shared" ref="A2:A21" si="0">ROW() - ROW($A$1)</f>
        <v>1</v>
      </c>
      <c r="B2" s="7" t="s">
        <v>7</v>
      </c>
      <c r="C2" s="8">
        <v>0.41666666666666669</v>
      </c>
      <c r="D2" s="9" t="s">
        <v>16</v>
      </c>
      <c r="E2" s="9">
        <v>1.388888888888889E-2</v>
      </c>
      <c r="F2" s="10" t="e">
        <f t="shared" ref="F2:F21" si="1">D2-C2</f>
        <v>#VALUE!</v>
      </c>
      <c r="G2" s="11" t="s">
        <v>17</v>
      </c>
    </row>
    <row r="3" spans="1:7" x14ac:dyDescent="0.3">
      <c r="A3" s="6">
        <f t="shared" si="0"/>
        <v>2</v>
      </c>
      <c r="B3" s="12" t="s">
        <v>8</v>
      </c>
      <c r="C3" s="13" t="s">
        <v>16</v>
      </c>
      <c r="D3" s="10" t="s">
        <v>16</v>
      </c>
      <c r="E3" s="10">
        <v>1.7361111111111108E-2</v>
      </c>
      <c r="F3" s="10" t="e">
        <f t="shared" si="1"/>
        <v>#VALUE!</v>
      </c>
      <c r="G3" s="11" t="s">
        <v>17</v>
      </c>
    </row>
    <row r="4" spans="1:7" x14ac:dyDescent="0.3">
      <c r="A4" s="6">
        <f t="shared" si="0"/>
        <v>3</v>
      </c>
      <c r="B4" s="14" t="s">
        <v>9</v>
      </c>
      <c r="C4" s="13" t="s">
        <v>16</v>
      </c>
      <c r="D4" s="10" t="s">
        <v>16</v>
      </c>
      <c r="E4" s="10">
        <v>6.9444444444444441E-3</v>
      </c>
      <c r="F4" s="10" t="e">
        <f t="shared" si="1"/>
        <v>#VALUE!</v>
      </c>
      <c r="G4" s="11" t="s">
        <v>17</v>
      </c>
    </row>
    <row r="5" spans="1:7" x14ac:dyDescent="0.3">
      <c r="A5" s="6">
        <f t="shared" si="0"/>
        <v>4</v>
      </c>
      <c r="B5" s="12" t="s">
        <v>18</v>
      </c>
      <c r="C5" s="13" t="s">
        <v>16</v>
      </c>
      <c r="D5" s="10">
        <v>0.43611111111111112</v>
      </c>
      <c r="E5" s="10">
        <v>4.1666666666666657E-2</v>
      </c>
      <c r="F5" s="10" t="e">
        <f t="shared" si="1"/>
        <v>#VALUE!</v>
      </c>
      <c r="G5" s="11" t="s">
        <v>17</v>
      </c>
    </row>
    <row r="6" spans="1:7" x14ac:dyDescent="0.3">
      <c r="A6" s="6">
        <f t="shared" si="0"/>
        <v>5</v>
      </c>
      <c r="B6" s="12" t="s">
        <v>19</v>
      </c>
      <c r="C6" s="13" t="s">
        <v>16</v>
      </c>
      <c r="D6" s="10">
        <v>0.44166666666666671</v>
      </c>
      <c r="E6" s="10"/>
      <c r="F6" s="10" t="e">
        <f t="shared" si="1"/>
        <v>#VALUE!</v>
      </c>
      <c r="G6" s="11" t="s">
        <v>17</v>
      </c>
    </row>
    <row r="7" spans="1:7" x14ac:dyDescent="0.3">
      <c r="A7" s="6">
        <f t="shared" si="0"/>
        <v>6</v>
      </c>
      <c r="B7" s="12" t="s">
        <v>20</v>
      </c>
      <c r="C7" s="13" t="s">
        <v>16</v>
      </c>
      <c r="D7" s="10">
        <v>0.45208333333333328</v>
      </c>
      <c r="E7" s="10"/>
      <c r="F7" s="10" t="e">
        <f t="shared" si="1"/>
        <v>#VALUE!</v>
      </c>
      <c r="G7" s="11" t="s">
        <v>17</v>
      </c>
    </row>
    <row r="8" spans="1:7" x14ac:dyDescent="0.3">
      <c r="A8" s="6">
        <f t="shared" si="0"/>
        <v>7</v>
      </c>
      <c r="B8" s="12" t="s">
        <v>21</v>
      </c>
      <c r="C8" s="13" t="s">
        <v>16</v>
      </c>
      <c r="D8" s="10">
        <v>0.50555555555555554</v>
      </c>
      <c r="E8" s="10"/>
      <c r="F8" s="13" t="e">
        <f t="shared" si="1"/>
        <v>#VALUE!</v>
      </c>
      <c r="G8" s="11" t="s">
        <v>17</v>
      </c>
    </row>
    <row r="9" spans="1:7" ht="28.8" customHeight="1" x14ac:dyDescent="0.3">
      <c r="A9" s="6">
        <f t="shared" si="0"/>
        <v>8</v>
      </c>
      <c r="B9" s="12" t="s">
        <v>22</v>
      </c>
      <c r="C9" s="13"/>
      <c r="D9" s="10"/>
      <c r="E9" s="10"/>
      <c r="F9" s="10">
        <f t="shared" si="1"/>
        <v>0</v>
      </c>
      <c r="G9" s="11" t="s">
        <v>23</v>
      </c>
    </row>
    <row r="10" spans="1:7" x14ac:dyDescent="0.3">
      <c r="A10" s="6">
        <f t="shared" si="0"/>
        <v>9</v>
      </c>
      <c r="B10" s="12" t="s">
        <v>24</v>
      </c>
      <c r="C10" s="13"/>
      <c r="D10" s="10"/>
      <c r="E10" s="10"/>
      <c r="F10" s="10">
        <f t="shared" si="1"/>
        <v>0</v>
      </c>
      <c r="G10" s="11"/>
    </row>
    <row r="11" spans="1:7" x14ac:dyDescent="0.3">
      <c r="A11" s="6">
        <f t="shared" si="0"/>
        <v>10</v>
      </c>
      <c r="B11" s="12" t="s">
        <v>25</v>
      </c>
      <c r="C11" s="13"/>
      <c r="D11" s="15"/>
      <c r="E11" s="15"/>
      <c r="F11" s="10">
        <f t="shared" si="1"/>
        <v>0</v>
      </c>
      <c r="G11" s="11"/>
    </row>
    <row r="12" spans="1:7" x14ac:dyDescent="0.3">
      <c r="A12" s="6">
        <f t="shared" si="0"/>
        <v>11</v>
      </c>
      <c r="B12" s="12" t="s">
        <v>26</v>
      </c>
      <c r="C12" s="13"/>
      <c r="D12" s="15"/>
      <c r="E12" s="15"/>
      <c r="F12" s="10">
        <f t="shared" si="1"/>
        <v>0</v>
      </c>
      <c r="G12" s="11"/>
    </row>
    <row r="13" spans="1:7" x14ac:dyDescent="0.3">
      <c r="A13" s="6">
        <f t="shared" si="0"/>
        <v>12</v>
      </c>
      <c r="B13" s="12" t="s">
        <v>27</v>
      </c>
      <c r="C13" s="13"/>
      <c r="D13" s="15"/>
      <c r="E13" s="15"/>
      <c r="F13" s="10">
        <f t="shared" si="1"/>
        <v>0</v>
      </c>
      <c r="G13" s="11"/>
    </row>
    <row r="14" spans="1:7" x14ac:dyDescent="0.3">
      <c r="A14" s="6">
        <f t="shared" si="0"/>
        <v>13</v>
      </c>
      <c r="B14" s="12" t="s">
        <v>28</v>
      </c>
      <c r="C14" s="13"/>
      <c r="D14" s="15"/>
      <c r="E14" s="15"/>
      <c r="F14" s="10">
        <f t="shared" si="1"/>
        <v>0</v>
      </c>
      <c r="G14" s="11" t="s">
        <v>17</v>
      </c>
    </row>
    <row r="15" spans="1:7" x14ac:dyDescent="0.3">
      <c r="A15" s="6">
        <f t="shared" si="0"/>
        <v>14</v>
      </c>
      <c r="B15" s="12" t="s">
        <v>29</v>
      </c>
      <c r="C15" s="13"/>
      <c r="D15" s="15"/>
      <c r="E15" s="15"/>
      <c r="F15" s="10">
        <f t="shared" si="1"/>
        <v>0</v>
      </c>
      <c r="G15" s="11" t="s">
        <v>17</v>
      </c>
    </row>
    <row r="16" spans="1:7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/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/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/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/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 t="e">
        <f>SUM(F2:F21)</f>
        <v>#VALUE!</v>
      </c>
      <c r="G22" s="23"/>
    </row>
  </sheetData>
  <conditionalFormatting sqref="G2:G21">
    <cfRule type="expression" dxfId="5" priority="1">
      <formula>SEARCH("In-Progress", G2)</formula>
    </cfRule>
    <cfRule type="expression" dxfId="4" priority="2">
      <formula>SEARCH("Incomplete", G2)</formula>
    </cfRule>
    <cfRule type="expression" dxfId="3" priority="3">
      <formula>SEARCH("Completed", G2)</formula>
    </cfRule>
  </conditionalFormatting>
  <dataValidations count="1">
    <dataValidation type="list" allowBlank="1" showInputMessage="1" showErrorMessage="1" sqref="G2:G21" xr:uid="{00000000-0002-0000-0300-000000000000}">
      <formula1>"Completed, Incomplete, In-Progress"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B6" sqref="B6:B9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3">
      <c r="A2" s="6">
        <f t="shared" ref="A2:A21" si="0">ROW() - ROW($A$1)</f>
        <v>1</v>
      </c>
      <c r="B2" s="7" t="s">
        <v>7</v>
      </c>
      <c r="C2" s="8">
        <v>0.39583333333333331</v>
      </c>
      <c r="D2" s="9">
        <v>0.40277777777777779</v>
      </c>
      <c r="E2" s="9">
        <v>1.388888888888889E-2</v>
      </c>
      <c r="F2" s="10">
        <f t="shared" ref="F2:F21" si="1">D2-C2</f>
        <v>6.9444444444444753E-3</v>
      </c>
      <c r="G2" s="11" t="s">
        <v>17</v>
      </c>
    </row>
    <row r="3" spans="1:7" x14ac:dyDescent="0.3">
      <c r="A3" s="6">
        <f t="shared" si="0"/>
        <v>2</v>
      </c>
      <c r="B3" s="12" t="s">
        <v>8</v>
      </c>
      <c r="C3" s="13">
        <v>0.40277777777777779</v>
      </c>
      <c r="D3" s="10">
        <v>0.40972222222222221</v>
      </c>
      <c r="E3" s="10">
        <v>1.7361111111111108E-2</v>
      </c>
      <c r="F3" s="10">
        <f t="shared" si="1"/>
        <v>6.9444444444444198E-3</v>
      </c>
      <c r="G3" s="11" t="s">
        <v>17</v>
      </c>
    </row>
    <row r="4" spans="1:7" x14ac:dyDescent="0.3">
      <c r="A4" s="6">
        <f t="shared" si="0"/>
        <v>3</v>
      </c>
      <c r="B4" s="14" t="s">
        <v>9</v>
      </c>
      <c r="C4" s="13">
        <v>0.40972222222222221</v>
      </c>
      <c r="D4" s="10">
        <v>0.41666666666666669</v>
      </c>
      <c r="E4" s="10">
        <v>6.9444444444444441E-3</v>
      </c>
      <c r="F4" s="10">
        <f t="shared" si="1"/>
        <v>6.9444444444444753E-3</v>
      </c>
      <c r="G4" s="11" t="s">
        <v>17</v>
      </c>
    </row>
    <row r="5" spans="1:7" x14ac:dyDescent="0.3">
      <c r="A5" s="6">
        <f t="shared" si="0"/>
        <v>4</v>
      </c>
      <c r="B5" s="12" t="s">
        <v>30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7" x14ac:dyDescent="0.3">
      <c r="A6" s="6">
        <f t="shared" si="0"/>
        <v>5</v>
      </c>
      <c r="B6" s="12" t="s">
        <v>24</v>
      </c>
      <c r="C6" s="13"/>
      <c r="D6" s="10"/>
      <c r="E6" s="10"/>
      <c r="F6" s="10">
        <f t="shared" si="1"/>
        <v>0</v>
      </c>
      <c r="G6" s="11"/>
    </row>
    <row r="7" spans="1:7" x14ac:dyDescent="0.3">
      <c r="A7" s="6">
        <f t="shared" si="0"/>
        <v>6</v>
      </c>
      <c r="B7" s="12" t="s">
        <v>25</v>
      </c>
      <c r="C7" s="13"/>
      <c r="D7" s="10"/>
      <c r="E7" s="10"/>
      <c r="F7" s="10">
        <f t="shared" si="1"/>
        <v>0</v>
      </c>
      <c r="G7" s="11"/>
    </row>
    <row r="8" spans="1:7" x14ac:dyDescent="0.3">
      <c r="A8" s="6">
        <f t="shared" si="0"/>
        <v>7</v>
      </c>
      <c r="B8" s="12" t="s">
        <v>26</v>
      </c>
      <c r="C8" s="13"/>
      <c r="D8" s="10"/>
      <c r="E8" s="10"/>
      <c r="F8" s="13">
        <f t="shared" si="1"/>
        <v>0</v>
      </c>
      <c r="G8" s="11"/>
    </row>
    <row r="9" spans="1:7" x14ac:dyDescent="0.3">
      <c r="A9" s="6">
        <f t="shared" si="0"/>
        <v>8</v>
      </c>
      <c r="B9" s="12" t="s">
        <v>27</v>
      </c>
      <c r="C9" s="13"/>
      <c r="D9" s="10"/>
      <c r="E9" s="10"/>
      <c r="F9" s="10">
        <f t="shared" si="1"/>
        <v>0</v>
      </c>
      <c r="G9" s="11"/>
    </row>
    <row r="10" spans="1:7" x14ac:dyDescent="0.3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7" x14ac:dyDescent="0.3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7" x14ac:dyDescent="0.3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7" x14ac:dyDescent="0.3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7" x14ac:dyDescent="0.3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7" x14ac:dyDescent="0.3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7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 t="s">
        <v>11</v>
      </c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 t="s">
        <v>12</v>
      </c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 t="s">
        <v>13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 t="s">
        <v>14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>
        <f>SUM(F2:F21)</f>
        <v>2.083333333333337E-2</v>
      </c>
      <c r="G22" s="23"/>
    </row>
  </sheetData>
  <conditionalFormatting sqref="G2:G21">
    <cfRule type="expression" dxfId="2" priority="1">
      <formula>SEARCH("In-Progress", G2)</formula>
    </cfRule>
    <cfRule type="expression" dxfId="1" priority="2">
      <formula>SEARCH("Incomplete", G2)</formula>
    </cfRule>
    <cfRule type="expression" dxfId="0" priority="3">
      <formula>SEARCH("Completed", G2)</formula>
    </cfRule>
  </conditionalFormatting>
  <dataValidations count="1">
    <dataValidation type="list" allowBlank="1" showInputMessage="1" showErrorMessage="1" sqref="G2:G21" xr:uid="{00000000-0002-0000-0400-000000000000}">
      <formula1>"Completed, Incomplete, In-Progress"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tabSelected="1" workbookViewId="0">
      <selection activeCell="B10" sqref="B10"/>
    </sheetView>
  </sheetViews>
  <sheetFormatPr defaultRowHeight="14.4" x14ac:dyDescent="0.3"/>
  <cols>
    <col min="1" max="1" width="6.6640625" bestFit="1" customWidth="1"/>
    <col min="2" max="2" width="50.77734375" customWidth="1"/>
    <col min="3" max="3" width="9.5546875" bestFit="1" customWidth="1"/>
    <col min="4" max="4" width="8.77734375" bestFit="1" customWidth="1"/>
    <col min="5" max="5" width="12.44140625" bestFit="1" customWidth="1"/>
    <col min="6" max="6" width="10.88671875" bestFit="1" customWidth="1"/>
    <col min="7" max="7" width="12.44140625" customWidth="1"/>
    <col min="9" max="9" width="22.77734375" bestFit="1" customWidth="1"/>
  </cols>
  <sheetData>
    <row r="1" spans="1:10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10" ht="15" thickBot="1" x14ac:dyDescent="0.3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25" t="s">
        <v>32</v>
      </c>
      <c r="J2" s="26">
        <v>0.43638888888888888</v>
      </c>
    </row>
    <row r="3" spans="1:10" x14ac:dyDescent="0.3">
      <c r="A3" s="6">
        <f t="shared" si="0"/>
        <v>2</v>
      </c>
      <c r="B3" s="12" t="s">
        <v>8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10" x14ac:dyDescent="0.3">
      <c r="A4" s="6">
        <f t="shared" si="0"/>
        <v>3</v>
      </c>
      <c r="B4" s="14" t="s">
        <v>9</v>
      </c>
      <c r="C4" s="13"/>
      <c r="D4" s="10"/>
      <c r="E4" s="10">
        <v>6.9444444444444441E-3</v>
      </c>
      <c r="F4" s="10">
        <f t="shared" si="1"/>
        <v>0</v>
      </c>
      <c r="G4" s="11"/>
    </row>
    <row r="5" spans="1:10" x14ac:dyDescent="0.3">
      <c r="A5" s="6">
        <f t="shared" si="0"/>
        <v>4</v>
      </c>
      <c r="B5" s="12" t="s">
        <v>10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10" x14ac:dyDescent="0.3">
      <c r="A6" s="6">
        <f t="shared" si="0"/>
        <v>5</v>
      </c>
      <c r="B6" s="12"/>
      <c r="C6" s="13"/>
      <c r="D6" s="10"/>
      <c r="E6" s="10"/>
      <c r="F6" s="10">
        <f t="shared" si="1"/>
        <v>0</v>
      </c>
      <c r="G6" s="11"/>
    </row>
    <row r="7" spans="1:10" x14ac:dyDescent="0.3">
      <c r="A7" s="6">
        <f t="shared" si="0"/>
        <v>6</v>
      </c>
      <c r="B7" s="12" t="s">
        <v>31</v>
      </c>
      <c r="C7" s="13">
        <v>0.35416666666666669</v>
      </c>
      <c r="D7" s="10">
        <v>0.36458333333333331</v>
      </c>
      <c r="E7" s="10"/>
      <c r="F7" s="10">
        <f t="shared" si="1"/>
        <v>1.041666666666663E-2</v>
      </c>
      <c r="G7" s="11"/>
    </row>
    <row r="8" spans="1:10" x14ac:dyDescent="0.3">
      <c r="A8" s="6">
        <f t="shared" si="0"/>
        <v>7</v>
      </c>
      <c r="B8" s="12" t="s">
        <v>24</v>
      </c>
      <c r="C8" s="13"/>
      <c r="D8" s="10"/>
      <c r="E8" s="10"/>
      <c r="F8" s="13">
        <f t="shared" si="1"/>
        <v>0</v>
      </c>
      <c r="G8" s="11"/>
    </row>
    <row r="9" spans="1:10" x14ac:dyDescent="0.3">
      <c r="A9" s="6">
        <f t="shared" si="0"/>
        <v>8</v>
      </c>
      <c r="B9" s="12" t="s">
        <v>25</v>
      </c>
      <c r="C9" s="13"/>
      <c r="D9" s="10"/>
      <c r="E9" s="10"/>
      <c r="F9" s="10">
        <f t="shared" si="1"/>
        <v>0</v>
      </c>
      <c r="G9" s="11"/>
    </row>
    <row r="10" spans="1:10" x14ac:dyDescent="0.3">
      <c r="A10" s="6">
        <f t="shared" si="0"/>
        <v>9</v>
      </c>
      <c r="B10" s="12" t="s">
        <v>27</v>
      </c>
      <c r="C10" s="13"/>
      <c r="D10" s="10"/>
      <c r="E10" s="10"/>
      <c r="F10" s="10">
        <f t="shared" si="1"/>
        <v>0</v>
      </c>
      <c r="G10" s="11"/>
    </row>
    <row r="11" spans="1:10" x14ac:dyDescent="0.3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10" x14ac:dyDescent="0.3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10" x14ac:dyDescent="0.3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10" x14ac:dyDescent="0.3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10" x14ac:dyDescent="0.3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10" x14ac:dyDescent="0.3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2" t="s">
        <v>11</v>
      </c>
      <c r="C18" s="13"/>
      <c r="D18" s="15"/>
      <c r="E18" s="15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2" t="s">
        <v>12</v>
      </c>
      <c r="C19" s="13"/>
      <c r="D19" s="15"/>
      <c r="E19" s="15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2" t="s">
        <v>13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2" t="s">
        <v>14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5">
      <c r="A22" s="18"/>
      <c r="B22" s="19" t="s">
        <v>15</v>
      </c>
      <c r="C22" s="20"/>
      <c r="D22" s="20"/>
      <c r="E22" s="21"/>
      <c r="F22" s="22">
        <f>SUM(F2:F21)</f>
        <v>1.041666666666663E-2</v>
      </c>
      <c r="G22" s="23"/>
    </row>
    <row r="24" spans="1:7" x14ac:dyDescent="0.3">
      <c r="F24" s="24"/>
    </row>
    <row r="25" spans="1:7" x14ac:dyDescent="0.3">
      <c r="F25" s="24"/>
    </row>
    <row r="26" spans="1:7" x14ac:dyDescent="0.3">
      <c r="F2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day_month</vt:lpstr>
      <vt:lpstr>5th_December</vt:lpstr>
      <vt:lpstr>6th_December</vt:lpstr>
      <vt:lpstr>10th_December</vt:lpstr>
      <vt:lpstr>16th_December</vt:lpstr>
      <vt:lpstr>23rd_December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2024-12-23T14:27:38Z</dcterms:modified>
</cp:coreProperties>
</file>